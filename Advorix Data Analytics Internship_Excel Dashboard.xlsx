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autoCompressPictures="0" defaultThemeVersion="166925"/>
  <mc:AlternateContent xmlns:mc="http://schemas.openxmlformats.org/markup-compatibility/2006">
    <mc:Choice Requires="x15">
      <x15ac:absPath xmlns:x15ac="http://schemas.microsoft.com/office/spreadsheetml/2010/11/ac" url="C:\Users\ashuc\Downloads\"/>
    </mc:Choice>
  </mc:AlternateContent>
  <xr:revisionPtr revIDLastSave="0" documentId="13_ncr:1_{AC30CB8D-A577-4B8A-A8CF-8ACAA3B40F49}" xr6:coauthVersionLast="47" xr6:coauthVersionMax="47" xr10:uidLastSave="{00000000-0000-0000-0000-000000000000}"/>
  <bookViews>
    <workbookView xWindow="-110" yWindow="-110" windowWidth="19420" windowHeight="10420" firstSheet="14" activeTab="15" xr2:uid="{4444EDF7-7369-4505-8B91-1DF4AD013290}"/>
  </bookViews>
  <sheets>
    <sheet name="Sheet 1 Pizza Sales Data " sheetId="1" r:id="rId1"/>
    <sheet name="Sheet2 Table Visual with Slicer" sheetId="2" r:id="rId2"/>
    <sheet name="Sheet3 Pizza Sales Data Working" sheetId="13" r:id="rId3"/>
    <sheet name="Sheet4 Quantity&amp;Revenue-Month" sheetId="26" r:id="rId4"/>
    <sheet name="Sheet5 Quantity&amp;Revenue-Size" sheetId="28" r:id="rId5"/>
    <sheet name="Sheet6Quantity&amp;Revenue-Category" sheetId="29" r:id="rId6"/>
    <sheet name="Sheet7 Quantity&amp;Revenue-Name" sheetId="30" r:id="rId7"/>
    <sheet name="Sheet 8 Charts-Qty by Month " sheetId="33" r:id="rId8"/>
    <sheet name="Sheet 9 Charts-Revenue by Month" sheetId="34" r:id="rId9"/>
    <sheet name="Sheet 10 Charts- Qty by Size" sheetId="35" r:id="rId10"/>
    <sheet name="Sheet 11 Charts-Revnue by Size" sheetId="36" r:id="rId11"/>
    <sheet name="Sheet 12 Charts-Qty by Category" sheetId="39" r:id="rId12"/>
    <sheet name="Sh13 Charts-Revenue by Category" sheetId="40" r:id="rId13"/>
    <sheet name="Sheet 14 Charts-Qty by Name" sheetId="37" r:id="rId14"/>
    <sheet name="Sheet 15 Charts-Revenue by Name" sheetId="38" r:id="rId15"/>
    <sheet name="Sheet 16 Summary Insights " sheetId="42" r:id="rId16"/>
  </sheets>
  <definedNames>
    <definedName name="_xlnm._FilterDatabase" localSheetId="0" hidden="1">'Sheet 1 Pizza Sales Data '!$A$1:$I$501</definedName>
    <definedName name="_xlnm._FilterDatabase" localSheetId="1" hidden="1">'Sheet2 Table Visual with Slicer'!$A$1:$I$501</definedName>
    <definedName name="_xlnm._FilterDatabase" localSheetId="2" hidden="1">'Sheet3 Pizza Sales Data Working'!$A$1:$I$501</definedName>
    <definedName name="Slicer_order_date">#N/A</definedName>
    <definedName name="Slicer_pizza_category">#N/A</definedName>
    <definedName name="Slicer_pizza_name">#N/A</definedName>
    <definedName name="Slicer_pizza_size">#N/A</definedName>
    <definedName name="Slicer_quantity">#N/A</definedName>
    <definedName name="Slicer_total_price">#N/A</definedName>
    <definedName name="Slicer_unit_price">#N/A</definedName>
  </definedNames>
  <calcPr calcId="181029"/>
  <pivotCaches>
    <pivotCache cacheId="0" r:id="rId1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4:slicerCache r:id="rId19"/>
        <x14:slicerCache r:id="rId20"/>
        <x14:slicerCache r:id="rId21"/>
        <x14:slicerCache r:id="rId22"/>
        <x14:slicerCache r:id="rId23"/>
        <x14:slicerCache r:id="rId24"/>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6" i="13" l="1"/>
  <c r="J13" i="13"/>
  <c r="N7" i="13"/>
  <c r="N4" i="13"/>
  <c r="L7" i="13"/>
  <c r="L4" i="13"/>
  <c r="J7" i="13"/>
  <c r="J4" i="13"/>
</calcChain>
</file>

<file path=xl/sharedStrings.xml><?xml version="1.0" encoding="utf-8"?>
<sst xmlns="http://schemas.openxmlformats.org/spreadsheetml/2006/main" count="4737" uniqueCount="97">
  <si>
    <t>pizza_id</t>
  </si>
  <si>
    <t>order_id</t>
  </si>
  <si>
    <t>quantity</t>
  </si>
  <si>
    <t>order_date</t>
  </si>
  <si>
    <t>unit_price</t>
  </si>
  <si>
    <t>total_price</t>
  </si>
  <si>
    <t>pizza_size</t>
  </si>
  <si>
    <t>pizza_category</t>
  </si>
  <si>
    <t>pizza_name</t>
  </si>
  <si>
    <t>M</t>
  </si>
  <si>
    <t>Classic</t>
  </si>
  <si>
    <t>The Hawaiian Pizza</t>
  </si>
  <si>
    <t>The Classic Deluxe Pizza</t>
  </si>
  <si>
    <t>L</t>
  </si>
  <si>
    <t>Veggie</t>
  </si>
  <si>
    <t>The Five Cheese Pizza</t>
  </si>
  <si>
    <t>Supreme</t>
  </si>
  <si>
    <t>The Italian Supreme Pizza</t>
  </si>
  <si>
    <t>The Mexicana Pizza</t>
  </si>
  <si>
    <t>Chicken</t>
  </si>
  <si>
    <t>The Thai Chicken Pizza</t>
  </si>
  <si>
    <t>The Prosciutto and Arugula Pizza</t>
  </si>
  <si>
    <t>S</t>
  </si>
  <si>
    <t>The Barbecue Chicken Pizza</t>
  </si>
  <si>
    <t>The Greek Pizza</t>
  </si>
  <si>
    <t>The Spinach Supreme Pizza</t>
  </si>
  <si>
    <t>The Green Garden Pizza</t>
  </si>
  <si>
    <t>The Italian Capocollo Pizza</t>
  </si>
  <si>
    <t>The Spicy Italian Pizza</t>
  </si>
  <si>
    <t>The Spinach Pesto Pizza</t>
  </si>
  <si>
    <t>The Vegetables + Vegetables Pizza</t>
  </si>
  <si>
    <t>The Southwest Chicken Pizza</t>
  </si>
  <si>
    <t>The California Chicken Pizza</t>
  </si>
  <si>
    <t>The Pepperoni Pizza</t>
  </si>
  <si>
    <t>The Chicken Pesto Pizza</t>
  </si>
  <si>
    <t>The Big Meat Pizza</t>
  </si>
  <si>
    <t>The Soppressata Pizza</t>
  </si>
  <si>
    <t>The Four Cheese Pizza</t>
  </si>
  <si>
    <t>The Napolitana Pizza</t>
  </si>
  <si>
    <t>The Calabrese Pizza</t>
  </si>
  <si>
    <t>The Italian Vegetables Pizza</t>
  </si>
  <si>
    <t>The Mediterranean Pizza</t>
  </si>
  <si>
    <t>The Pepper Salami Pizza</t>
  </si>
  <si>
    <t>The Spinach and Feta Pizza</t>
  </si>
  <si>
    <t>The Sicilian Pizza</t>
  </si>
  <si>
    <t>The Chicken Alfredo Pizza</t>
  </si>
  <si>
    <t>The Pepperoni, Mushroom, and Peppers Pizza</t>
  </si>
  <si>
    <t>XL</t>
  </si>
  <si>
    <t>The Brie Carre Pizza</t>
  </si>
  <si>
    <t>Total Price</t>
  </si>
  <si>
    <t>Quantity Sold</t>
  </si>
  <si>
    <t>Total</t>
  </si>
  <si>
    <t xml:space="preserve">Average </t>
  </si>
  <si>
    <t>Average</t>
  </si>
  <si>
    <t>Unit Price</t>
  </si>
  <si>
    <t xml:space="preserve">Total </t>
  </si>
  <si>
    <t>Sum of quantity</t>
  </si>
  <si>
    <t>Grand Total</t>
  </si>
  <si>
    <t>Jan</t>
  </si>
  <si>
    <t>Feb</t>
  </si>
  <si>
    <t>Mar</t>
  </si>
  <si>
    <t>Apr</t>
  </si>
  <si>
    <t>Sum of total_price</t>
  </si>
  <si>
    <t>Months</t>
  </si>
  <si>
    <t xml:space="preserve"> Quantity sold</t>
  </si>
  <si>
    <t>Month</t>
  </si>
  <si>
    <t>Pizza size</t>
  </si>
  <si>
    <t>Pizza category</t>
  </si>
  <si>
    <t>Pizza name</t>
  </si>
  <si>
    <t>Quantity sold</t>
  </si>
  <si>
    <t>Profits</t>
  </si>
  <si>
    <t xml:space="preserve">Advorix Data Analytics Internship_ Excel Dashboard </t>
  </si>
  <si>
    <t>Summary Insights</t>
  </si>
  <si>
    <t xml:space="preserve">The data selected for this particular analysis is the pizza sales data of a particular restaurant. The excel sheet labelled pizza sales data provides the base or raw data required for the analysis. </t>
  </si>
  <si>
    <t>The sheet has 9 columns with each column representing information such as pizza id, order id, quantity, order date, unit price, total price, pizza size, pizza category and pizza name. The number of orders and type of orders have all been put across the rows and in this particular analysis around 500 such orders have been considered. For the order date, the months of January, February, March and April have been taken into consideration.</t>
  </si>
  <si>
    <t xml:space="preserve">The second sheet labelled table visualisation shows the same data in a table format enabling the use of slicers which is a crucial part of the excel dashboard. </t>
  </si>
  <si>
    <t>The third sheet labelled pizza sales working represents the mathematical working by the means of total and average of the quantity, unit price and total price. From this we understand that the total quantity of pizza sold across the four months mentioned earlier is 510 with the average being around 1.02 The total unit price charged is $8342.85 and the average unit price is around $16.6857 and the total of total price is $8513.85 and the average total price is around $17.0277 The total profit is $171 and the average profit is $0.342</t>
  </si>
  <si>
    <t xml:space="preserve">The fourth sheet labelled quantity and revenue across months shows the pivot table and chart for the quantity sold and the revenue generated across the four months used for analysis- January, February, March and April. The most quantity is sold in the month of February at 165 with January next at 162 followed by March at 158 and April at 25. Even with revenue it is the same with most revenue being generated in February at $2731.9, January at $2713.85 coming second followed by March at $2662.4 and finally April at $405.7 This is a clear indication that revenue generated in directly proportional to quantity sold. Since February has the highest sales even the revenue generated is highest in February and April having the least sales has least revenue generated. </t>
  </si>
  <si>
    <t xml:space="preserve">The fifth sheet has the quantity and revenue analysis based on the pizza size sold. The four sizes of pizza sold are Small, Medium, Large and Extra Large. The highest quantity sold in terms of pizza size is for large at 221 pieces with Medium coming second at 144 followed by Small at 139 and Extra Large at 6. Even revenue follows the same pattern with Large pizza sales generating highest revenue at $4393.95 and at second having Medium with $2290.75 followed by Small having $1676.15 and Extra Large having $153 in revenue. This is also another clear indication that revenue generated is based on quantity sold. It’s also clear that Large size pizza is the most sold with highest quantity sold and revenue generated and Extra Large size pizza is the least sold with lowest quantity sold and revenue generated. </t>
  </si>
  <si>
    <t xml:space="preserve">In the sixth sheet we have quantity sold and revenue generated across pizza categories. The four pizza categories taken here are chicken, classic, supreme and veggie. Classic is the most sold pizza having a quantity sold of 159. At second place is supreme having 121 followed by chicken having 117 and finally by veggie having 113. Revenue generated as mentioned earlier is directly proportional or dependant on the quantity sold. Most revenue is generated by classic at $2349. At second comes supreme with $2127.4 This is followed by chicken at $2103.75 and veggie at $1933.7 This indicates that classic is the most popular pizza category with maximum quantity sold and most revenue generated by its sales. Veggie is the least popular pizza category with lowest quantity sold and least revenue generated by it. </t>
  </si>
  <si>
    <t>In the seventh sheet we have quantity sold and revenue generated across pizza names. There are about 31 pizza names indicating great variety. The revenue generated is once again directly proportional to the quantity sold. The most sold and revenue generating pizza is The Barbeque Chicken pizza having sold 29 pieces and generating $517.75 The least sold and revenue generating pizza is The Brie Carre pizza having sold just 1 piece and generating only $23.65</t>
  </si>
  <si>
    <t xml:space="preserve">Sheets 8, 9, 10, 11, 12, 13, 14 and 15 have column and pie charts representing quantity sold and revenue generated across month, pizza size, pizza category and pizza name respectively. Sheet 16 has a copy of this analysis. </t>
  </si>
  <si>
    <t xml:space="preserve">Analysis Conclusion </t>
  </si>
  <si>
    <t>Best Selling or Busiest Month- February</t>
  </si>
  <si>
    <t xml:space="preserve">Least Selling or Least Busy Month- April </t>
  </si>
  <si>
    <t xml:space="preserve">Best Selling Pizza Size- Large </t>
  </si>
  <si>
    <t>Least Selling Pizza Size- Extra Large</t>
  </si>
  <si>
    <t>Best Selling Pizza Category- Classic</t>
  </si>
  <si>
    <t xml:space="preserve">Least Selling Pizza Category- Veggie </t>
  </si>
  <si>
    <t>Best Selling Pizza Name- Barbeque Chicken Pizza</t>
  </si>
  <si>
    <t xml:space="preserve">Least Selling Pizza Name- Brie Carre Pizza </t>
  </si>
  <si>
    <t xml:space="preserve">Analysis Insights </t>
  </si>
  <si>
    <t>a)   The company must focus on increasing sales in the month of April. This can be done by observing consumer behaviour and retaining loyal customer base as well as attracting new customers through reasonable discounts and offers that don’t affect revenue and profits generated.</t>
  </si>
  <si>
    <t>b)   The company can find new measures to make consumers buy the extra-large size pizza by creating a fusion of two or more pizza flavours in the extra-large pizza</t>
  </si>
  <si>
    <t xml:space="preserve">c)   The veggie pizza isn’t very popular with customers so the company must find a method by which they can market and advertise veggie pizza in such a way that the customers feel like buying it </t>
  </si>
  <si>
    <t xml:space="preserve">d)   The Brie Carre pizza is the least sold. The company can improve this changing some ingredients and marketing of the pizza </t>
  </si>
  <si>
    <t xml:space="preserve">e)   All these changes must be implemented keeping in mind that the revenue generated and profits stay the same or improve and not decline.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</si>
</sst>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2" tint="-0.89999084444715716"/>
      <name val="Calibri"/>
      <family val="2"/>
      <scheme val="minor"/>
    </font>
  </fonts>
  <fills count="3">
    <fill>
      <patternFill patternType="none"/>
    </fill>
    <fill>
      <patternFill patternType="gray125"/>
    </fill>
    <fill>
      <patternFill patternType="solid">
        <fgColor theme="0" tint="-4.9989318521683403E-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 fillId="2" borderId="1" xfId="0" applyFont="1" applyFill="1" applyBorder="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[Advorix Data Analytics Internship_Excel Dashboard.xlsx]Sheet4 Quantity&amp;Revenue-Month!PivotTable11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 Quantity&amp;Revenue-Month'!$B$3</c:f>
              <c:strCache>
                <c:ptCount val="1"/>
                <c:pt idx="0">
                  <c:v>Sum of quantity</c:v>
                </c:pt>
              </c:strCache>
            </c:strRef>
          </c:tx>
          <c:spPr>
            <a:solidFill>
              <a:schemeClr val="accent1"/>
            </a:solidFill>
            <a:ln>
              <a:noFill/>
            </a:ln>
            <a:effectLst/>
          </c:spPr>
          <c:invertIfNegative val="0"/>
          <c:cat>
            <c:strRef>
              <c:f>'Sheet4 Quantity&amp;Revenue-Month'!$A$4:$A$8</c:f>
              <c:strCache>
                <c:ptCount val="4"/>
                <c:pt idx="0">
                  <c:v>Jan</c:v>
                </c:pt>
                <c:pt idx="1">
                  <c:v>Feb</c:v>
                </c:pt>
                <c:pt idx="2">
                  <c:v>Mar</c:v>
                </c:pt>
                <c:pt idx="3">
                  <c:v>Apr</c:v>
                </c:pt>
              </c:strCache>
            </c:strRef>
          </c:cat>
          <c:val>
            <c:numRef>
              <c:f>'Sheet4 Quantity&amp;Revenue-Month'!$B$4:$B$8</c:f>
              <c:numCache>
                <c:formatCode>General</c:formatCode>
                <c:ptCount val="4"/>
                <c:pt idx="0">
                  <c:v>162</c:v>
                </c:pt>
                <c:pt idx="1">
                  <c:v>165</c:v>
                </c:pt>
                <c:pt idx="2">
                  <c:v>158</c:v>
                </c:pt>
                <c:pt idx="3">
                  <c:v>25</c:v>
                </c:pt>
              </c:numCache>
            </c:numRef>
          </c:val>
          <c:extLst>
            <c:ext xmlns:c16="http://schemas.microsoft.com/office/drawing/2014/chart" uri="{C3380CC4-5D6E-409C-BE32-E72D297353CC}">
              <c16:uniqueId val="{00000000-BFCE-4D33-AE03-A70BE60DA8BA}"/>
            </c:ext>
          </c:extLst>
        </c:ser>
        <c:ser>
          <c:idx val="1"/>
          <c:order val="1"/>
          <c:tx>
            <c:strRef>
              <c:f>'Sheet4 Quantity&amp;Revenue-Month'!$C$3</c:f>
              <c:strCache>
                <c:ptCount val="1"/>
                <c:pt idx="0">
                  <c:v>Sum of total_price</c:v>
                </c:pt>
              </c:strCache>
            </c:strRef>
          </c:tx>
          <c:spPr>
            <a:solidFill>
              <a:schemeClr val="accent2"/>
            </a:solidFill>
            <a:ln>
              <a:noFill/>
            </a:ln>
            <a:effectLst/>
          </c:spPr>
          <c:invertIfNegative val="0"/>
          <c:cat>
            <c:strRef>
              <c:f>'Sheet4 Quantity&amp;Revenue-Month'!$A$4:$A$8</c:f>
              <c:strCache>
                <c:ptCount val="4"/>
                <c:pt idx="0">
                  <c:v>Jan</c:v>
                </c:pt>
                <c:pt idx="1">
                  <c:v>Feb</c:v>
                </c:pt>
                <c:pt idx="2">
                  <c:v>Mar</c:v>
                </c:pt>
                <c:pt idx="3">
                  <c:v>Apr</c:v>
                </c:pt>
              </c:strCache>
            </c:strRef>
          </c:cat>
          <c:val>
            <c:numRef>
              <c:f>'Sheet4 Quantity&amp;Revenue-Month'!$C$4:$C$8</c:f>
              <c:numCache>
                <c:formatCode>General</c:formatCode>
                <c:ptCount val="4"/>
                <c:pt idx="0">
                  <c:v>2713.8500000000004</c:v>
                </c:pt>
                <c:pt idx="1">
                  <c:v>2731.8999999999996</c:v>
                </c:pt>
                <c:pt idx="2">
                  <c:v>2662.3999999999996</c:v>
                </c:pt>
                <c:pt idx="3">
                  <c:v>405.7</c:v>
                </c:pt>
              </c:numCache>
            </c:numRef>
          </c:val>
          <c:extLst>
            <c:ext xmlns:c16="http://schemas.microsoft.com/office/drawing/2014/chart" uri="{C3380CC4-5D6E-409C-BE32-E72D297353CC}">
              <c16:uniqueId val="{00000002-BFCE-4D33-AE03-A70BE60DA8BA}"/>
            </c:ext>
          </c:extLst>
        </c:ser>
        <c:dLbls>
          <c:showLegendKey val="0"/>
          <c:showVal val="0"/>
          <c:showCatName val="0"/>
          <c:showSerName val="0"/>
          <c:showPercent val="0"/>
          <c:showBubbleSize val="0"/>
        </c:dLbls>
        <c:gapWidth val="219"/>
        <c:overlap val="-27"/>
        <c:axId val="578947048"/>
        <c:axId val="578948848"/>
      </c:barChart>
      <c:catAx>
        <c:axId val="578947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48848"/>
        <c:crosses val="autoZero"/>
        <c:auto val="1"/>
        <c:lblAlgn val="ctr"/>
        <c:lblOffset val="100"/>
        <c:noMultiLvlLbl val="0"/>
      </c:catAx>
      <c:valAx>
        <c:axId val="57894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47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[Advorix Data Analytics Internship_Excel Dashboard.xlsx]Sheet5 Quantity&amp;Revenue-Size!PivotTable13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 Quantity&amp;Revenue-Size'!$B$3</c:f>
              <c:strCache>
                <c:ptCount val="1"/>
                <c:pt idx="0">
                  <c:v>Sum of quantity</c:v>
                </c:pt>
              </c:strCache>
            </c:strRef>
          </c:tx>
          <c:spPr>
            <a:solidFill>
              <a:schemeClr val="accent1"/>
            </a:solidFill>
            <a:ln>
              <a:noFill/>
            </a:ln>
            <a:effectLst/>
          </c:spPr>
          <c:invertIfNegative val="0"/>
          <c:cat>
            <c:strRef>
              <c:f>'Sheet5 Quantity&amp;Revenue-Size'!$A$4:$A$8</c:f>
              <c:strCache>
                <c:ptCount val="4"/>
                <c:pt idx="0">
                  <c:v>L</c:v>
                </c:pt>
                <c:pt idx="1">
                  <c:v>M</c:v>
                </c:pt>
                <c:pt idx="2">
                  <c:v>S</c:v>
                </c:pt>
                <c:pt idx="3">
                  <c:v>XL</c:v>
                </c:pt>
              </c:strCache>
            </c:strRef>
          </c:cat>
          <c:val>
            <c:numRef>
              <c:f>'Sheet5 Quantity&amp;Revenue-Size'!$B$4:$B$8</c:f>
              <c:numCache>
                <c:formatCode>General</c:formatCode>
                <c:ptCount val="4"/>
                <c:pt idx="0">
                  <c:v>221</c:v>
                </c:pt>
                <c:pt idx="1">
                  <c:v>144</c:v>
                </c:pt>
                <c:pt idx="2">
                  <c:v>139</c:v>
                </c:pt>
                <c:pt idx="3">
                  <c:v>6</c:v>
                </c:pt>
              </c:numCache>
            </c:numRef>
          </c:val>
          <c:extLst>
            <c:ext xmlns:c16="http://schemas.microsoft.com/office/drawing/2014/chart" uri="{C3380CC4-5D6E-409C-BE32-E72D297353CC}">
              <c16:uniqueId val="{00000000-47F1-42E5-9736-C0DFA0EA1EB2}"/>
            </c:ext>
          </c:extLst>
        </c:ser>
        <c:ser>
          <c:idx val="1"/>
          <c:order val="1"/>
          <c:tx>
            <c:strRef>
              <c:f>'Sheet5 Quantity&amp;Revenue-Size'!$C$3</c:f>
              <c:strCache>
                <c:ptCount val="1"/>
                <c:pt idx="0">
                  <c:v>Sum of total_price</c:v>
                </c:pt>
              </c:strCache>
            </c:strRef>
          </c:tx>
          <c:spPr>
            <a:solidFill>
              <a:schemeClr val="accent2"/>
            </a:solidFill>
            <a:ln>
              <a:noFill/>
            </a:ln>
            <a:effectLst/>
          </c:spPr>
          <c:invertIfNegative val="0"/>
          <c:cat>
            <c:strRef>
              <c:f>'Sheet5 Quantity&amp;Revenue-Size'!$A$4:$A$8</c:f>
              <c:strCache>
                <c:ptCount val="4"/>
                <c:pt idx="0">
                  <c:v>L</c:v>
                </c:pt>
                <c:pt idx="1">
                  <c:v>M</c:v>
                </c:pt>
                <c:pt idx="2">
                  <c:v>S</c:v>
                </c:pt>
                <c:pt idx="3">
                  <c:v>XL</c:v>
                </c:pt>
              </c:strCache>
            </c:strRef>
          </c:cat>
          <c:val>
            <c:numRef>
              <c:f>'Sheet5 Quantity&amp;Revenue-Size'!$C$4:$C$8</c:f>
              <c:numCache>
                <c:formatCode>General</c:formatCode>
                <c:ptCount val="4"/>
                <c:pt idx="0">
                  <c:v>4393.9499999999989</c:v>
                </c:pt>
                <c:pt idx="1">
                  <c:v>2290.75</c:v>
                </c:pt>
                <c:pt idx="2">
                  <c:v>1676.15</c:v>
                </c:pt>
                <c:pt idx="3">
                  <c:v>153</c:v>
                </c:pt>
              </c:numCache>
            </c:numRef>
          </c:val>
          <c:extLst>
            <c:ext xmlns:c16="http://schemas.microsoft.com/office/drawing/2014/chart" uri="{C3380CC4-5D6E-409C-BE32-E72D297353CC}">
              <c16:uniqueId val="{00000002-47F1-42E5-9736-C0DFA0EA1EB2}"/>
            </c:ext>
          </c:extLst>
        </c:ser>
        <c:dLbls>
          <c:showLegendKey val="0"/>
          <c:showVal val="0"/>
          <c:showCatName val="0"/>
          <c:showSerName val="0"/>
          <c:showPercent val="0"/>
          <c:showBubbleSize val="0"/>
        </c:dLbls>
        <c:gapWidth val="219"/>
        <c:overlap val="-27"/>
        <c:axId val="578951728"/>
        <c:axId val="578952808"/>
      </c:barChart>
      <c:catAx>
        <c:axId val="57895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52808"/>
        <c:crosses val="autoZero"/>
        <c:auto val="1"/>
        <c:lblAlgn val="ctr"/>
        <c:lblOffset val="100"/>
        <c:noMultiLvlLbl val="0"/>
      </c:catAx>
      <c:valAx>
        <c:axId val="578952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5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[Advorix Data Analytics Internship_Excel Dashboard.xlsx]Sheet6Quantity&amp;Revenue-Category!PivotTable14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'Sheet6Quantity&amp;Revenue-Category'!$B$3</c:f>
              <c:strCache>
                <c:ptCount val="1"/>
                <c:pt idx="0">
                  <c:v>Sum of quantity</c:v>
                </c:pt>
              </c:strCache>
            </c:strRef>
          </c:tx>
          <c:spPr>
            <a:solidFill>
              <a:schemeClr val="accent1"/>
            </a:solidFill>
            <a:ln>
              <a:noFill/>
            </a:ln>
            <a:effectLst/>
          </c:spPr>
          <c:invertIfNegative val="0"/>
          <c:cat>
            <c:strRef>
              <c:f>'Sheet6Quantity&amp;Revenue-Category'!$A$4:$A$8</c:f>
              <c:strCache>
                <c:ptCount val="4"/>
                <c:pt idx="0">
                  <c:v>Chicken</c:v>
                </c:pt>
                <c:pt idx="1">
                  <c:v>Classic</c:v>
                </c:pt>
                <c:pt idx="2">
                  <c:v>Supreme</c:v>
                </c:pt>
                <c:pt idx="3">
                  <c:v>Veggie</c:v>
                </c:pt>
              </c:strCache>
            </c:strRef>
          </c:cat>
          <c:val>
            <c:numRef>
              <c:f>'Sheet6Quantity&amp;Revenue-Category'!$B$4:$B$8</c:f>
              <c:numCache>
                <c:formatCode>General</c:formatCode>
                <c:ptCount val="4"/>
                <c:pt idx="0">
                  <c:v>117</c:v>
                </c:pt>
                <c:pt idx="1">
                  <c:v>159</c:v>
                </c:pt>
                <c:pt idx="2">
                  <c:v>121</c:v>
                </c:pt>
                <c:pt idx="3">
                  <c:v>113</c:v>
                </c:pt>
              </c:numCache>
            </c:numRef>
          </c:val>
          <c:extLst>
            <c:ext xmlns:c16="http://schemas.microsoft.com/office/drawing/2014/chart" uri="{C3380CC4-5D6E-409C-BE32-E72D297353CC}">
              <c16:uniqueId val="{00000000-82F5-4DFF-B901-E7F06A82A128}"/>
            </c:ext>
          </c:extLst>
        </c:ser>
        <c:ser>
          <c:idx val="1"/>
          <c:order val="1"/>
          <c:tx>
            <c:strRef>
              <c:f>'Sheet6Quantity&amp;Revenue-Category'!$C$3</c:f>
              <c:strCache>
                <c:ptCount val="1"/>
                <c:pt idx="0">
                  <c:v>Sum of total_price</c:v>
                </c:pt>
              </c:strCache>
            </c:strRef>
          </c:tx>
          <c:spPr>
            <a:solidFill>
              <a:schemeClr val="accent2"/>
            </a:solidFill>
            <a:ln>
              <a:noFill/>
            </a:ln>
            <a:effectLst/>
          </c:spPr>
          <c:invertIfNegative val="0"/>
          <c:cat>
            <c:strRef>
              <c:f>'Sheet6Quantity&amp;Revenue-Category'!$A$4:$A$8</c:f>
              <c:strCache>
                <c:ptCount val="4"/>
                <c:pt idx="0">
                  <c:v>Chicken</c:v>
                </c:pt>
                <c:pt idx="1">
                  <c:v>Classic</c:v>
                </c:pt>
                <c:pt idx="2">
                  <c:v>Supreme</c:v>
                </c:pt>
                <c:pt idx="3">
                  <c:v>Veggie</c:v>
                </c:pt>
              </c:strCache>
            </c:strRef>
          </c:cat>
          <c:val>
            <c:numRef>
              <c:f>'Sheet6Quantity&amp;Revenue-Category'!$C$4:$C$8</c:f>
              <c:numCache>
                <c:formatCode>General</c:formatCode>
                <c:ptCount val="4"/>
                <c:pt idx="0">
                  <c:v>2103.75</c:v>
                </c:pt>
                <c:pt idx="1">
                  <c:v>2349</c:v>
                </c:pt>
                <c:pt idx="2">
                  <c:v>2127.4</c:v>
                </c:pt>
                <c:pt idx="3">
                  <c:v>1933.7000000000005</c:v>
                </c:pt>
              </c:numCache>
            </c:numRef>
          </c:val>
          <c:extLst>
            <c:ext xmlns:c16="http://schemas.microsoft.com/office/drawing/2014/chart" uri="{C3380CC4-5D6E-409C-BE32-E72D297353CC}">
              <c16:uniqueId val="{00000002-82F5-4DFF-B901-E7F06A82A128}"/>
            </c:ext>
          </c:extLst>
        </c:ser>
        <c:dLbls>
          <c:showLegendKey val="0"/>
          <c:showVal val="0"/>
          <c:showCatName val="0"/>
          <c:showSerName val="0"/>
          <c:showPercent val="0"/>
          <c:showBubbleSize val="0"/>
        </c:dLbls>
        <c:gapWidth val="219"/>
        <c:overlap val="-27"/>
        <c:axId val="301266928"/>
        <c:axId val="301267288"/>
      </c:barChart>
      <c:catAx>
        <c:axId val="30126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267288"/>
        <c:crosses val="autoZero"/>
        <c:auto val="1"/>
        <c:lblAlgn val="ctr"/>
        <c:lblOffset val="100"/>
        <c:noMultiLvlLbl val="0"/>
      </c:catAx>
      <c:valAx>
        <c:axId val="301267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26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[Advorix Data Analytics Internship_Excel Dashboard.xlsx]Sheet7 Quantity&amp;Revenue-Name!PivotTable15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 Quantity&amp;Revenue-Name'!$B$3</c:f>
              <c:strCache>
                <c:ptCount val="1"/>
                <c:pt idx="0">
                  <c:v>Sum of quantity</c:v>
                </c:pt>
              </c:strCache>
            </c:strRef>
          </c:tx>
          <c:spPr>
            <a:solidFill>
              <a:schemeClr val="accent1"/>
            </a:solidFill>
            <a:ln>
              <a:noFill/>
            </a:ln>
            <a:effectLst/>
          </c:spPr>
          <c:invertIfNegative val="0"/>
          <c:cat>
            <c:strRef>
              <c:f>'Sheet7 Quantity&amp;Revenue-Name'!$A$4:$A$36</c:f>
              <c:strCache>
                <c:ptCount val="32"/>
                <c:pt idx="0">
                  <c:v>The Barbecue Chicken Pizza</c:v>
                </c:pt>
                <c:pt idx="1">
                  <c:v>The Big Meat Pizza</c:v>
                </c:pt>
                <c:pt idx="2">
                  <c:v>The Brie Carre Pizza</c:v>
                </c:pt>
                <c:pt idx="3">
                  <c:v>The Calabrese Pizza</c:v>
                </c:pt>
                <c:pt idx="4">
                  <c:v>The California Chicken Pizza</c:v>
                </c:pt>
                <c:pt idx="5">
                  <c:v>The Chicken Alfredo Pizza</c:v>
                </c:pt>
                <c:pt idx="6">
                  <c:v>The Chicken Pesto Pizza</c:v>
                </c:pt>
                <c:pt idx="7">
                  <c:v>The Classic Deluxe Pizza</c:v>
                </c:pt>
                <c:pt idx="8">
                  <c:v>The Five Cheese Pizza</c:v>
                </c:pt>
                <c:pt idx="9">
                  <c:v>The Four Cheese Pizza</c:v>
                </c:pt>
                <c:pt idx="10">
                  <c:v>The Greek Pizza</c:v>
                </c:pt>
                <c:pt idx="11">
                  <c:v>The Green Garden Pizza</c:v>
                </c:pt>
                <c:pt idx="12">
                  <c:v>The Hawaiian Pizza</c:v>
                </c:pt>
                <c:pt idx="13">
                  <c:v>The Italian Capocollo Pizza</c:v>
                </c:pt>
                <c:pt idx="14">
                  <c:v>The Italian Supreme Pizza</c:v>
                </c:pt>
                <c:pt idx="15">
                  <c:v>The Italian Vegetables Pizza</c:v>
                </c:pt>
                <c:pt idx="16">
                  <c:v>The Mediterranean Pizza</c:v>
                </c:pt>
                <c:pt idx="17">
                  <c:v>The Mexicana Pizza</c:v>
                </c:pt>
                <c:pt idx="18">
                  <c:v>The Napolitana Pizza</c:v>
                </c:pt>
                <c:pt idx="19">
                  <c:v>The Pepper Salami Pizza</c:v>
                </c:pt>
                <c:pt idx="20">
                  <c:v>The Pepperoni Pizza</c:v>
                </c:pt>
                <c:pt idx="21">
                  <c:v>The Pepperoni, Mushroom, and Peppers Pizza</c:v>
                </c:pt>
                <c:pt idx="22">
                  <c:v>The Prosciutto and Arugula Pizza</c:v>
                </c:pt>
                <c:pt idx="23">
                  <c:v>The Sicilian Pizza</c:v>
                </c:pt>
                <c:pt idx="24">
                  <c:v>The Soppressata Pizza</c:v>
                </c:pt>
                <c:pt idx="25">
                  <c:v>The Southwest Chicken Pizza</c:v>
                </c:pt>
                <c:pt idx="26">
                  <c:v>The Spicy Italian Pizza</c:v>
                </c:pt>
                <c:pt idx="27">
                  <c:v>The Spinach and Feta Pizza</c:v>
                </c:pt>
                <c:pt idx="28">
                  <c:v>The Spinach Pesto Pizza</c:v>
                </c:pt>
                <c:pt idx="29">
                  <c:v>The Spinach Supreme Pizza</c:v>
                </c:pt>
                <c:pt idx="30">
                  <c:v>The Thai Chicken Pizza</c:v>
                </c:pt>
                <c:pt idx="31">
                  <c:v>The Vegetables + Vegetables Pizza</c:v>
                </c:pt>
              </c:strCache>
            </c:strRef>
          </c:cat>
          <c:val>
            <c:numRef>
              <c:f>'Sheet7 Quantity&amp;Revenue-Name'!$B$4:$B$36</c:f>
              <c:numCache>
                <c:formatCode>General</c:formatCode>
                <c:ptCount val="32"/>
                <c:pt idx="0">
                  <c:v>29</c:v>
                </c:pt>
                <c:pt idx="1">
                  <c:v>21</c:v>
                </c:pt>
                <c:pt idx="2">
                  <c:v>1</c:v>
                </c:pt>
                <c:pt idx="3">
                  <c:v>2</c:v>
                </c:pt>
                <c:pt idx="4">
                  <c:v>24</c:v>
                </c:pt>
                <c:pt idx="5">
                  <c:v>10</c:v>
                </c:pt>
                <c:pt idx="6">
                  <c:v>9</c:v>
                </c:pt>
                <c:pt idx="7">
                  <c:v>21</c:v>
                </c:pt>
                <c:pt idx="8">
                  <c:v>17</c:v>
                </c:pt>
                <c:pt idx="9">
                  <c:v>17</c:v>
                </c:pt>
                <c:pt idx="10">
                  <c:v>21</c:v>
                </c:pt>
                <c:pt idx="11">
                  <c:v>9</c:v>
                </c:pt>
                <c:pt idx="12">
                  <c:v>22</c:v>
                </c:pt>
                <c:pt idx="13">
                  <c:v>20</c:v>
                </c:pt>
                <c:pt idx="14">
                  <c:v>28</c:v>
                </c:pt>
                <c:pt idx="15">
                  <c:v>10</c:v>
                </c:pt>
                <c:pt idx="16">
                  <c:v>7</c:v>
                </c:pt>
                <c:pt idx="17">
                  <c:v>19</c:v>
                </c:pt>
                <c:pt idx="18">
                  <c:v>15</c:v>
                </c:pt>
                <c:pt idx="19">
                  <c:v>13</c:v>
                </c:pt>
                <c:pt idx="20">
                  <c:v>29</c:v>
                </c:pt>
                <c:pt idx="21">
                  <c:v>10</c:v>
                </c:pt>
                <c:pt idx="22">
                  <c:v>16</c:v>
                </c:pt>
                <c:pt idx="23">
                  <c:v>17</c:v>
                </c:pt>
                <c:pt idx="24">
                  <c:v>6</c:v>
                </c:pt>
                <c:pt idx="25">
                  <c:v>18</c:v>
                </c:pt>
                <c:pt idx="26">
                  <c:v>23</c:v>
                </c:pt>
                <c:pt idx="27">
                  <c:v>9</c:v>
                </c:pt>
                <c:pt idx="28">
                  <c:v>10</c:v>
                </c:pt>
                <c:pt idx="29">
                  <c:v>15</c:v>
                </c:pt>
                <c:pt idx="30">
                  <c:v>27</c:v>
                </c:pt>
                <c:pt idx="31">
                  <c:v>15</c:v>
                </c:pt>
              </c:numCache>
            </c:numRef>
          </c:val>
          <c:extLst>
            <c:ext xmlns:c16="http://schemas.microsoft.com/office/drawing/2014/chart" uri="{C3380CC4-5D6E-409C-BE32-E72D297353CC}">
              <c16:uniqueId val="{00000000-EFC7-43A0-92F1-2D031DD29A18}"/>
            </c:ext>
          </c:extLst>
        </c:ser>
        <c:ser>
          <c:idx val="1"/>
          <c:order val="1"/>
          <c:tx>
            <c:strRef>
              <c:f>'Sheet7 Quantity&amp;Revenue-Name'!$C$3</c:f>
              <c:strCache>
                <c:ptCount val="1"/>
                <c:pt idx="0">
                  <c:v>Sum of total_price</c:v>
                </c:pt>
              </c:strCache>
            </c:strRef>
          </c:tx>
          <c:spPr>
            <a:solidFill>
              <a:schemeClr val="accent2"/>
            </a:solidFill>
            <a:ln>
              <a:noFill/>
            </a:ln>
            <a:effectLst/>
          </c:spPr>
          <c:invertIfNegative val="0"/>
          <c:cat>
            <c:strRef>
              <c:f>'Sheet7 Quantity&amp;Revenue-Name'!$A$4:$A$36</c:f>
              <c:strCache>
                <c:ptCount val="32"/>
                <c:pt idx="0">
                  <c:v>The Barbecue Chicken Pizza</c:v>
                </c:pt>
                <c:pt idx="1">
                  <c:v>The Big Meat Pizza</c:v>
                </c:pt>
                <c:pt idx="2">
                  <c:v>The Brie Carre Pizza</c:v>
                </c:pt>
                <c:pt idx="3">
                  <c:v>The Calabrese Pizza</c:v>
                </c:pt>
                <c:pt idx="4">
                  <c:v>The California Chicken Pizza</c:v>
                </c:pt>
                <c:pt idx="5">
                  <c:v>The Chicken Alfredo Pizza</c:v>
                </c:pt>
                <c:pt idx="6">
                  <c:v>The Chicken Pesto Pizza</c:v>
                </c:pt>
                <c:pt idx="7">
                  <c:v>The Classic Deluxe Pizza</c:v>
                </c:pt>
                <c:pt idx="8">
                  <c:v>The Five Cheese Pizza</c:v>
                </c:pt>
                <c:pt idx="9">
                  <c:v>The Four Cheese Pizza</c:v>
                </c:pt>
                <c:pt idx="10">
                  <c:v>The Greek Pizza</c:v>
                </c:pt>
                <c:pt idx="11">
                  <c:v>The Green Garden Pizza</c:v>
                </c:pt>
                <c:pt idx="12">
                  <c:v>The Hawaiian Pizza</c:v>
                </c:pt>
                <c:pt idx="13">
                  <c:v>The Italian Capocollo Pizza</c:v>
                </c:pt>
                <c:pt idx="14">
                  <c:v>The Italian Supreme Pizza</c:v>
                </c:pt>
                <c:pt idx="15">
                  <c:v>The Italian Vegetables Pizza</c:v>
                </c:pt>
                <c:pt idx="16">
                  <c:v>The Mediterranean Pizza</c:v>
                </c:pt>
                <c:pt idx="17">
                  <c:v>The Mexicana Pizza</c:v>
                </c:pt>
                <c:pt idx="18">
                  <c:v>The Napolitana Pizza</c:v>
                </c:pt>
                <c:pt idx="19">
                  <c:v>The Pepper Salami Pizza</c:v>
                </c:pt>
                <c:pt idx="20">
                  <c:v>The Pepperoni Pizza</c:v>
                </c:pt>
                <c:pt idx="21">
                  <c:v>The Pepperoni, Mushroom, and Peppers Pizza</c:v>
                </c:pt>
                <c:pt idx="22">
                  <c:v>The Prosciutto and Arugula Pizza</c:v>
                </c:pt>
                <c:pt idx="23">
                  <c:v>The Sicilian Pizza</c:v>
                </c:pt>
                <c:pt idx="24">
                  <c:v>The Soppressata Pizza</c:v>
                </c:pt>
                <c:pt idx="25">
                  <c:v>The Southwest Chicken Pizza</c:v>
                </c:pt>
                <c:pt idx="26">
                  <c:v>The Spicy Italian Pizza</c:v>
                </c:pt>
                <c:pt idx="27">
                  <c:v>The Spinach and Feta Pizza</c:v>
                </c:pt>
                <c:pt idx="28">
                  <c:v>The Spinach Pesto Pizza</c:v>
                </c:pt>
                <c:pt idx="29">
                  <c:v>The Spinach Supreme Pizza</c:v>
                </c:pt>
                <c:pt idx="30">
                  <c:v>The Thai Chicken Pizza</c:v>
                </c:pt>
                <c:pt idx="31">
                  <c:v>The Vegetables + Vegetables Pizza</c:v>
                </c:pt>
              </c:strCache>
            </c:strRef>
          </c:cat>
          <c:val>
            <c:numRef>
              <c:f>'Sheet7 Quantity&amp;Revenue-Name'!$C$4:$C$36</c:f>
              <c:numCache>
                <c:formatCode>General</c:formatCode>
                <c:ptCount val="32"/>
                <c:pt idx="0">
                  <c:v>517.75</c:v>
                </c:pt>
                <c:pt idx="1">
                  <c:v>252</c:v>
                </c:pt>
                <c:pt idx="2">
                  <c:v>23.65</c:v>
                </c:pt>
                <c:pt idx="3">
                  <c:v>32.5</c:v>
                </c:pt>
                <c:pt idx="4">
                  <c:v>438</c:v>
                </c:pt>
                <c:pt idx="5">
                  <c:v>175.5</c:v>
                </c:pt>
                <c:pt idx="6">
                  <c:v>162.75</c:v>
                </c:pt>
                <c:pt idx="7">
                  <c:v>330</c:v>
                </c:pt>
                <c:pt idx="8">
                  <c:v>314.5</c:v>
                </c:pt>
                <c:pt idx="9">
                  <c:v>285.94999999999993</c:v>
                </c:pt>
                <c:pt idx="10">
                  <c:v>361</c:v>
                </c:pt>
                <c:pt idx="11">
                  <c:v>124.25</c:v>
                </c:pt>
                <c:pt idx="12">
                  <c:v>302</c:v>
                </c:pt>
                <c:pt idx="13">
                  <c:v>361.5</c:v>
                </c:pt>
                <c:pt idx="14">
                  <c:v>509.25</c:v>
                </c:pt>
                <c:pt idx="15">
                  <c:v>164.25</c:v>
                </c:pt>
                <c:pt idx="16">
                  <c:v>120.75</c:v>
                </c:pt>
                <c:pt idx="17">
                  <c:v>342.75</c:v>
                </c:pt>
                <c:pt idx="18">
                  <c:v>247</c:v>
                </c:pt>
                <c:pt idx="19">
                  <c:v>228</c:v>
                </c:pt>
                <c:pt idx="20">
                  <c:v>362.5</c:v>
                </c:pt>
                <c:pt idx="21">
                  <c:v>133</c:v>
                </c:pt>
                <c:pt idx="22">
                  <c:v>261.5</c:v>
                </c:pt>
                <c:pt idx="23">
                  <c:v>284.25</c:v>
                </c:pt>
                <c:pt idx="24">
                  <c:v>124.5</c:v>
                </c:pt>
                <c:pt idx="25">
                  <c:v>317.5</c:v>
                </c:pt>
                <c:pt idx="26">
                  <c:v>435.5</c:v>
                </c:pt>
                <c:pt idx="27">
                  <c:v>153.25</c:v>
                </c:pt>
                <c:pt idx="28">
                  <c:v>170.25</c:v>
                </c:pt>
                <c:pt idx="29">
                  <c:v>228.25</c:v>
                </c:pt>
                <c:pt idx="30">
                  <c:v>492.25</c:v>
                </c:pt>
                <c:pt idx="31">
                  <c:v>257.75</c:v>
                </c:pt>
              </c:numCache>
            </c:numRef>
          </c:val>
          <c:extLst>
            <c:ext xmlns:c16="http://schemas.microsoft.com/office/drawing/2014/chart" uri="{C3380CC4-5D6E-409C-BE32-E72D297353CC}">
              <c16:uniqueId val="{00000002-EFC7-43A0-92F1-2D031DD29A18}"/>
            </c:ext>
          </c:extLst>
        </c:ser>
        <c:dLbls>
          <c:showLegendKey val="0"/>
          <c:showVal val="0"/>
          <c:showCatName val="0"/>
          <c:showSerName val="0"/>
          <c:showPercent val="0"/>
          <c:showBubbleSize val="0"/>
        </c:dLbls>
        <c:gapWidth val="219"/>
        <c:overlap val="-27"/>
        <c:axId val="551210016"/>
        <c:axId val="555786128"/>
      </c:barChart>
      <c:catAx>
        <c:axId val="55121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786128"/>
        <c:crosses val="autoZero"/>
        <c:auto val="1"/>
        <c:lblAlgn val="ctr"/>
        <c:lblOffset val="100"/>
        <c:noMultiLvlLbl val="0"/>
      </c:catAx>
      <c:valAx>
        <c:axId val="55578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21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050"/>
              <a:t>COlumn</a:t>
            </a:r>
            <a:r>
              <a:rPr lang="en-IN" sz="1050" baseline="0"/>
              <a:t> Chart Showing Quantity of Pizza Sold Across Months</a:t>
            </a:r>
            <a:endParaRPr lang="en-IN"/>
          </a:p>
        </c:rich>
      </c:tx>
      <c:layout>
        <c:manualLayout>
          <c:xMode val="edge"/>
          <c:yMode val="edge"/>
          <c:x val="9.3541557305336837E-2"/>
          <c:y val="0"/>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3.3333333333333333E-2"/>
          <c:y val="0.2061574074074074"/>
          <c:w val="0.93888888888888888"/>
          <c:h val="0.71818642461358995"/>
        </c:manualLayout>
      </c:layout>
      <c:barChart>
        <c:barDir val="col"/>
        <c:grouping val="clustered"/>
        <c:varyColors val="0"/>
        <c:ser>
          <c:idx val="0"/>
          <c:order val="0"/>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8 Charts-Qty by Month '!$A$2:$A$5</c:f>
              <c:strCache>
                <c:ptCount val="4"/>
                <c:pt idx="0">
                  <c:v>Jan</c:v>
                </c:pt>
                <c:pt idx="1">
                  <c:v>Feb</c:v>
                </c:pt>
                <c:pt idx="2">
                  <c:v>Mar</c:v>
                </c:pt>
                <c:pt idx="3">
                  <c:v>Apr</c:v>
                </c:pt>
              </c:strCache>
            </c:strRef>
          </c:cat>
          <c:val>
            <c:numRef>
              <c:f>'Sheet 8 Charts-Qty by Month '!$B$2:$B$5</c:f>
              <c:numCache>
                <c:formatCode>General</c:formatCode>
                <c:ptCount val="4"/>
                <c:pt idx="0">
                  <c:v>162</c:v>
                </c:pt>
                <c:pt idx="1">
                  <c:v>165</c:v>
                </c:pt>
                <c:pt idx="2">
                  <c:v>158</c:v>
                </c:pt>
                <c:pt idx="3">
                  <c:v>25</c:v>
                </c:pt>
              </c:numCache>
            </c:numRef>
          </c:val>
          <c:extLst>
            <c:ext xmlns:c16="http://schemas.microsoft.com/office/drawing/2014/chart" uri="{C3380CC4-5D6E-409C-BE32-E72D297353CC}">
              <c16:uniqueId val="{00000000-FF35-4E50-A022-34908942D211}"/>
            </c:ext>
          </c:extLst>
        </c:ser>
        <c:dLbls>
          <c:dLblPos val="outEnd"/>
          <c:showLegendKey val="0"/>
          <c:showVal val="1"/>
          <c:showCatName val="0"/>
          <c:showSerName val="0"/>
          <c:showPercent val="0"/>
          <c:showBubbleSize val="0"/>
        </c:dLbls>
        <c:gapWidth val="444"/>
        <c:overlap val="-90"/>
        <c:axId val="410934936"/>
        <c:axId val="410935656"/>
      </c:barChart>
      <c:catAx>
        <c:axId val="410934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10935656"/>
        <c:crosses val="autoZero"/>
        <c:auto val="1"/>
        <c:lblAlgn val="ctr"/>
        <c:lblOffset val="100"/>
        <c:noMultiLvlLbl val="0"/>
      </c:catAx>
      <c:valAx>
        <c:axId val="410935656"/>
        <c:scaling>
          <c:orientation val="minMax"/>
        </c:scaling>
        <c:delete val="1"/>
        <c:axPos val="l"/>
        <c:numFmt formatCode="General" sourceLinked="1"/>
        <c:majorTickMark val="none"/>
        <c:minorTickMark val="none"/>
        <c:tickLblPos val="nextTo"/>
        <c:crossAx val="410934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Pie</a:t>
            </a:r>
            <a:r>
              <a:rPr lang="en-IN" baseline="0"/>
              <a:t> chart showing quantity of pizza sold across months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38D-4E57-ADDB-D2D226DB5866}"/>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38D-4E57-ADDB-D2D226DB5866}"/>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38D-4E57-ADDB-D2D226DB5866}"/>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38D-4E57-ADDB-D2D226DB58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8 Charts-Qty by Month '!$A$2:$A$5</c:f>
              <c:strCache>
                <c:ptCount val="4"/>
                <c:pt idx="0">
                  <c:v>Jan</c:v>
                </c:pt>
                <c:pt idx="1">
                  <c:v>Feb</c:v>
                </c:pt>
                <c:pt idx="2">
                  <c:v>Mar</c:v>
                </c:pt>
                <c:pt idx="3">
                  <c:v>Apr</c:v>
                </c:pt>
              </c:strCache>
            </c:strRef>
          </c:cat>
          <c:val>
            <c:numRef>
              <c:f>'Sheet 8 Charts-Qty by Month '!$B$2:$B$5</c:f>
              <c:numCache>
                <c:formatCode>General</c:formatCode>
                <c:ptCount val="4"/>
                <c:pt idx="0">
                  <c:v>162</c:v>
                </c:pt>
                <c:pt idx="1">
                  <c:v>165</c:v>
                </c:pt>
                <c:pt idx="2">
                  <c:v>158</c:v>
                </c:pt>
                <c:pt idx="3">
                  <c:v>25</c:v>
                </c:pt>
              </c:numCache>
            </c:numRef>
          </c:val>
          <c:extLst>
            <c:ext xmlns:c16="http://schemas.microsoft.com/office/drawing/2014/chart" uri="{C3380CC4-5D6E-409C-BE32-E72D297353CC}">
              <c16:uniqueId val="{00000000-CFFA-4F1B-8C7D-BBCF47109B0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200"/>
              <a:t>COLumn</a:t>
            </a:r>
            <a:r>
              <a:rPr lang="en-IN" sz="1200" baseline="0"/>
              <a:t> Chart showing Revenue across Months</a:t>
            </a:r>
          </a:p>
        </c:rich>
      </c:tx>
      <c:layout>
        <c:manualLayout>
          <c:xMode val="edge"/>
          <c:yMode val="edge"/>
          <c:x val="0.11724999999999999"/>
          <c:y val="2.314814814814814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7777777777777776E-2"/>
          <c:y val="0.23287037037037037"/>
          <c:w val="0.93888888888888888"/>
          <c:h val="0.67295494313210846"/>
        </c:manualLayout>
      </c:layout>
      <c:barChart>
        <c:barDir val="col"/>
        <c:grouping val="clustered"/>
        <c:varyColors val="0"/>
        <c:ser>
          <c:idx val="0"/>
          <c:order val="0"/>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9 Charts-Revenue by Month'!$A$2:$A$5</c:f>
              <c:strCache>
                <c:ptCount val="4"/>
                <c:pt idx="0">
                  <c:v>Jan</c:v>
                </c:pt>
                <c:pt idx="1">
                  <c:v>Feb</c:v>
                </c:pt>
                <c:pt idx="2">
                  <c:v>Mar</c:v>
                </c:pt>
                <c:pt idx="3">
                  <c:v>Apr</c:v>
                </c:pt>
              </c:strCache>
            </c:strRef>
          </c:cat>
          <c:val>
            <c:numRef>
              <c:f>'Sheet 9 Charts-Revenue by Month'!$B$2:$B$5</c:f>
              <c:numCache>
                <c:formatCode>General</c:formatCode>
                <c:ptCount val="4"/>
                <c:pt idx="0">
                  <c:v>2713.8500000000004</c:v>
                </c:pt>
                <c:pt idx="1">
                  <c:v>2731.8999999999996</c:v>
                </c:pt>
                <c:pt idx="2">
                  <c:v>2662.3999999999996</c:v>
                </c:pt>
                <c:pt idx="3">
                  <c:v>405.7</c:v>
                </c:pt>
              </c:numCache>
            </c:numRef>
          </c:val>
          <c:extLst>
            <c:ext xmlns:c16="http://schemas.microsoft.com/office/drawing/2014/chart" uri="{C3380CC4-5D6E-409C-BE32-E72D297353CC}">
              <c16:uniqueId val="{00000000-619C-4681-9249-5D2B83239C16}"/>
            </c:ext>
          </c:extLst>
        </c:ser>
        <c:dLbls>
          <c:dLblPos val="outEnd"/>
          <c:showLegendKey val="0"/>
          <c:showVal val="1"/>
          <c:showCatName val="0"/>
          <c:showSerName val="0"/>
          <c:showPercent val="0"/>
          <c:showBubbleSize val="0"/>
        </c:dLbls>
        <c:gapWidth val="444"/>
        <c:overlap val="-90"/>
        <c:axId val="580514264"/>
        <c:axId val="580520384"/>
      </c:barChart>
      <c:catAx>
        <c:axId val="580514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80520384"/>
        <c:crosses val="autoZero"/>
        <c:auto val="1"/>
        <c:lblAlgn val="ctr"/>
        <c:lblOffset val="100"/>
        <c:noMultiLvlLbl val="0"/>
      </c:catAx>
      <c:valAx>
        <c:axId val="580520384"/>
        <c:scaling>
          <c:orientation val="minMax"/>
        </c:scaling>
        <c:delete val="1"/>
        <c:axPos val="l"/>
        <c:numFmt formatCode="General" sourceLinked="1"/>
        <c:majorTickMark val="none"/>
        <c:minorTickMark val="none"/>
        <c:tickLblPos val="nextTo"/>
        <c:crossAx val="580514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pie</a:t>
            </a:r>
            <a:r>
              <a:rPr lang="en-IN" baseline="0"/>
              <a:t> chart showing revenue across months</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91B-4519-BA67-49357E29836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91B-4519-BA67-49357E29836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91B-4519-BA67-49357E29836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91B-4519-BA67-49357E2983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9 Charts-Revenue by Month'!$A$2:$A$5</c:f>
              <c:strCache>
                <c:ptCount val="4"/>
                <c:pt idx="0">
                  <c:v>Jan</c:v>
                </c:pt>
                <c:pt idx="1">
                  <c:v>Feb</c:v>
                </c:pt>
                <c:pt idx="2">
                  <c:v>Mar</c:v>
                </c:pt>
                <c:pt idx="3">
                  <c:v>Apr</c:v>
                </c:pt>
              </c:strCache>
            </c:strRef>
          </c:cat>
          <c:val>
            <c:numRef>
              <c:f>'Sheet 9 Charts-Revenue by Month'!$B$2:$B$5</c:f>
              <c:numCache>
                <c:formatCode>General</c:formatCode>
                <c:ptCount val="4"/>
                <c:pt idx="0">
                  <c:v>2713.8500000000004</c:v>
                </c:pt>
                <c:pt idx="1">
                  <c:v>2731.8999999999996</c:v>
                </c:pt>
                <c:pt idx="2">
                  <c:v>2662.3999999999996</c:v>
                </c:pt>
                <c:pt idx="3">
                  <c:v>405.7</c:v>
                </c:pt>
              </c:numCache>
            </c:numRef>
          </c:val>
          <c:extLst>
            <c:ext xmlns:c16="http://schemas.microsoft.com/office/drawing/2014/chart" uri="{C3380CC4-5D6E-409C-BE32-E72D297353CC}">
              <c16:uniqueId val="{00000000-3153-4AED-9CEE-7B635690E87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Column</a:t>
            </a:r>
            <a:r>
              <a:rPr lang="en-IN" baseline="0"/>
              <a:t> chart showing quantity of pizza sold across different pizza sizes</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10 Charts- Qty by Size'!$A$2:$A$5</c:f>
              <c:strCache>
                <c:ptCount val="4"/>
                <c:pt idx="0">
                  <c:v>L</c:v>
                </c:pt>
                <c:pt idx="1">
                  <c:v>M</c:v>
                </c:pt>
                <c:pt idx="2">
                  <c:v>S</c:v>
                </c:pt>
                <c:pt idx="3">
                  <c:v>XL</c:v>
                </c:pt>
              </c:strCache>
            </c:strRef>
          </c:cat>
          <c:val>
            <c:numRef>
              <c:f>'Sheet 10 Charts- Qty by Size'!$B$2:$B$5</c:f>
              <c:numCache>
                <c:formatCode>General</c:formatCode>
                <c:ptCount val="4"/>
                <c:pt idx="0">
                  <c:v>221</c:v>
                </c:pt>
                <c:pt idx="1">
                  <c:v>144</c:v>
                </c:pt>
                <c:pt idx="2">
                  <c:v>139</c:v>
                </c:pt>
                <c:pt idx="3">
                  <c:v>6</c:v>
                </c:pt>
              </c:numCache>
            </c:numRef>
          </c:val>
          <c:extLst>
            <c:ext xmlns:c16="http://schemas.microsoft.com/office/drawing/2014/chart" uri="{C3380CC4-5D6E-409C-BE32-E72D297353CC}">
              <c16:uniqueId val="{00000000-D043-43D2-BF6A-639A8EFA6022}"/>
            </c:ext>
          </c:extLst>
        </c:ser>
        <c:dLbls>
          <c:dLblPos val="outEnd"/>
          <c:showLegendKey val="0"/>
          <c:showVal val="1"/>
          <c:showCatName val="0"/>
          <c:showSerName val="0"/>
          <c:showPercent val="0"/>
          <c:showBubbleSize val="0"/>
        </c:dLbls>
        <c:gapWidth val="444"/>
        <c:overlap val="-90"/>
        <c:axId val="580515704"/>
        <c:axId val="580516064"/>
      </c:barChart>
      <c:catAx>
        <c:axId val="580515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80516064"/>
        <c:crosses val="autoZero"/>
        <c:auto val="1"/>
        <c:lblAlgn val="ctr"/>
        <c:lblOffset val="100"/>
        <c:noMultiLvlLbl val="0"/>
      </c:catAx>
      <c:valAx>
        <c:axId val="580516064"/>
        <c:scaling>
          <c:orientation val="minMax"/>
        </c:scaling>
        <c:delete val="1"/>
        <c:axPos val="l"/>
        <c:numFmt formatCode="General" sourceLinked="1"/>
        <c:majorTickMark val="none"/>
        <c:minorTickMark val="none"/>
        <c:tickLblPos val="nextTo"/>
        <c:crossAx val="580515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38-4826-A1D9-7E3A423161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38-4826-A1D9-7E3A423161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38-4826-A1D9-7E3A423161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38-4826-A1D9-7E3A423161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10 Charts- Qty by Size'!$A$2:$A$5</c:f>
              <c:strCache>
                <c:ptCount val="4"/>
                <c:pt idx="0">
                  <c:v>L</c:v>
                </c:pt>
                <c:pt idx="1">
                  <c:v>M</c:v>
                </c:pt>
                <c:pt idx="2">
                  <c:v>S</c:v>
                </c:pt>
                <c:pt idx="3">
                  <c:v>XL</c:v>
                </c:pt>
              </c:strCache>
            </c:strRef>
          </c:cat>
          <c:val>
            <c:numRef>
              <c:f>'Sheet 10 Charts- Qty by Size'!$B$2:$B$5</c:f>
              <c:numCache>
                <c:formatCode>General</c:formatCode>
                <c:ptCount val="4"/>
                <c:pt idx="0">
                  <c:v>221</c:v>
                </c:pt>
                <c:pt idx="1">
                  <c:v>144</c:v>
                </c:pt>
                <c:pt idx="2">
                  <c:v>139</c:v>
                </c:pt>
                <c:pt idx="3">
                  <c:v>6</c:v>
                </c:pt>
              </c:numCache>
            </c:numRef>
          </c:val>
          <c:extLst>
            <c:ext xmlns:c16="http://schemas.microsoft.com/office/drawing/2014/chart" uri="{C3380CC4-5D6E-409C-BE32-E72D297353CC}">
              <c16:uniqueId val="{00000000-D758-4679-BF34-5A55AE602DA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Column</a:t>
            </a:r>
            <a:r>
              <a:rPr lang="en-IN" baseline="0"/>
              <a:t> chart for revenue across different pizza sizes</a:t>
            </a:r>
            <a:endParaRPr lang="en-IN"/>
          </a:p>
        </c:rich>
      </c:tx>
      <c:layout>
        <c:manualLayout>
          <c:xMode val="edge"/>
          <c:yMode val="edge"/>
          <c:x val="0.15596522309711286"/>
          <c:y val="0"/>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11 Charts-Revnue by Size'!$A$2:$A$5</c:f>
              <c:strCache>
                <c:ptCount val="4"/>
                <c:pt idx="0">
                  <c:v>L</c:v>
                </c:pt>
                <c:pt idx="1">
                  <c:v>M</c:v>
                </c:pt>
                <c:pt idx="2">
                  <c:v>S</c:v>
                </c:pt>
                <c:pt idx="3">
                  <c:v>XL</c:v>
                </c:pt>
              </c:strCache>
            </c:strRef>
          </c:cat>
          <c:val>
            <c:numRef>
              <c:f>'Sheet 11 Charts-Revnue by Size'!$B$2:$B$5</c:f>
              <c:numCache>
                <c:formatCode>General</c:formatCode>
                <c:ptCount val="4"/>
                <c:pt idx="0">
                  <c:v>4393.9499999999989</c:v>
                </c:pt>
                <c:pt idx="1">
                  <c:v>2290.75</c:v>
                </c:pt>
                <c:pt idx="2">
                  <c:v>1676.15</c:v>
                </c:pt>
                <c:pt idx="3">
                  <c:v>153</c:v>
                </c:pt>
              </c:numCache>
            </c:numRef>
          </c:val>
          <c:extLst>
            <c:ext xmlns:c16="http://schemas.microsoft.com/office/drawing/2014/chart" uri="{C3380CC4-5D6E-409C-BE32-E72D297353CC}">
              <c16:uniqueId val="{00000000-E7FA-4CC5-AE83-E273DFADDAF4}"/>
            </c:ext>
          </c:extLst>
        </c:ser>
        <c:dLbls>
          <c:dLblPos val="outEnd"/>
          <c:showLegendKey val="0"/>
          <c:showVal val="1"/>
          <c:showCatName val="0"/>
          <c:showSerName val="0"/>
          <c:showPercent val="0"/>
          <c:showBubbleSize val="0"/>
        </c:dLbls>
        <c:gapWidth val="444"/>
        <c:overlap val="-90"/>
        <c:axId val="707946536"/>
        <c:axId val="576805344"/>
      </c:barChart>
      <c:catAx>
        <c:axId val="707946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76805344"/>
        <c:crosses val="autoZero"/>
        <c:auto val="1"/>
        <c:lblAlgn val="ctr"/>
        <c:lblOffset val="100"/>
        <c:noMultiLvlLbl val="0"/>
      </c:catAx>
      <c:valAx>
        <c:axId val="576805344"/>
        <c:scaling>
          <c:orientation val="minMax"/>
        </c:scaling>
        <c:delete val="1"/>
        <c:axPos val="l"/>
        <c:numFmt formatCode="General" sourceLinked="1"/>
        <c:majorTickMark val="none"/>
        <c:minorTickMark val="none"/>
        <c:tickLblPos val="nextTo"/>
        <c:crossAx val="707946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Pie</a:t>
            </a:r>
            <a:r>
              <a:rPr lang="en-IN" baseline="0"/>
              <a:t> chart for revenue across different pizza sizes</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180-41CE-AAEC-E67653D857E1}"/>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180-41CE-AAEC-E67653D857E1}"/>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180-41CE-AAEC-E67653D857E1}"/>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180-41CE-AAEC-E67653D857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11 Charts-Revnue by Size'!$A$2:$A$5</c:f>
              <c:strCache>
                <c:ptCount val="4"/>
                <c:pt idx="0">
                  <c:v>L</c:v>
                </c:pt>
                <c:pt idx="1">
                  <c:v>M</c:v>
                </c:pt>
                <c:pt idx="2">
                  <c:v>S</c:v>
                </c:pt>
                <c:pt idx="3">
                  <c:v>XL</c:v>
                </c:pt>
              </c:strCache>
            </c:strRef>
          </c:cat>
          <c:val>
            <c:numRef>
              <c:f>'Sheet 11 Charts-Revnue by Size'!$B$2:$B$5</c:f>
              <c:numCache>
                <c:formatCode>General</c:formatCode>
                <c:ptCount val="4"/>
                <c:pt idx="0">
                  <c:v>4393.9499999999989</c:v>
                </c:pt>
                <c:pt idx="1">
                  <c:v>2290.75</c:v>
                </c:pt>
                <c:pt idx="2">
                  <c:v>1676.15</c:v>
                </c:pt>
                <c:pt idx="3">
                  <c:v>153</c:v>
                </c:pt>
              </c:numCache>
            </c:numRef>
          </c:val>
          <c:extLst>
            <c:ext xmlns:c16="http://schemas.microsoft.com/office/drawing/2014/chart" uri="{C3380CC4-5D6E-409C-BE32-E72D297353CC}">
              <c16:uniqueId val="{00000000-CBB9-4FDE-9AB5-D3212D13359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Column</a:t>
            </a:r>
            <a:r>
              <a:rPr lang="en-IN" baseline="0"/>
              <a:t> chart for quantity sold across pizza category</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12 Charts-Qty by Category'!$A$2:$A$5</c:f>
              <c:strCache>
                <c:ptCount val="4"/>
                <c:pt idx="0">
                  <c:v>Chicken</c:v>
                </c:pt>
                <c:pt idx="1">
                  <c:v>Classic</c:v>
                </c:pt>
                <c:pt idx="2">
                  <c:v>Supreme</c:v>
                </c:pt>
                <c:pt idx="3">
                  <c:v>Veggie</c:v>
                </c:pt>
              </c:strCache>
            </c:strRef>
          </c:cat>
          <c:val>
            <c:numRef>
              <c:f>'Sheet 12 Charts-Qty by Category'!$B$2:$B$5</c:f>
              <c:numCache>
                <c:formatCode>General</c:formatCode>
                <c:ptCount val="4"/>
                <c:pt idx="0">
                  <c:v>117</c:v>
                </c:pt>
                <c:pt idx="1">
                  <c:v>159</c:v>
                </c:pt>
                <c:pt idx="2">
                  <c:v>121</c:v>
                </c:pt>
                <c:pt idx="3">
                  <c:v>113</c:v>
                </c:pt>
              </c:numCache>
            </c:numRef>
          </c:val>
          <c:extLst>
            <c:ext xmlns:c16="http://schemas.microsoft.com/office/drawing/2014/chart" uri="{C3380CC4-5D6E-409C-BE32-E72D297353CC}">
              <c16:uniqueId val="{00000000-4A6A-428D-B4E0-4BA8363305F2}"/>
            </c:ext>
          </c:extLst>
        </c:ser>
        <c:dLbls>
          <c:dLblPos val="outEnd"/>
          <c:showLegendKey val="0"/>
          <c:showVal val="1"/>
          <c:showCatName val="0"/>
          <c:showSerName val="0"/>
          <c:showPercent val="0"/>
          <c:showBubbleSize val="0"/>
        </c:dLbls>
        <c:gapWidth val="444"/>
        <c:overlap val="-90"/>
        <c:axId val="577888432"/>
        <c:axId val="580520744"/>
      </c:barChart>
      <c:catAx>
        <c:axId val="577888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80520744"/>
        <c:crosses val="autoZero"/>
        <c:auto val="1"/>
        <c:lblAlgn val="ctr"/>
        <c:lblOffset val="100"/>
        <c:noMultiLvlLbl val="0"/>
      </c:catAx>
      <c:valAx>
        <c:axId val="580520744"/>
        <c:scaling>
          <c:orientation val="minMax"/>
        </c:scaling>
        <c:delete val="1"/>
        <c:axPos val="l"/>
        <c:numFmt formatCode="General" sourceLinked="1"/>
        <c:majorTickMark val="none"/>
        <c:minorTickMark val="none"/>
        <c:tickLblPos val="nextTo"/>
        <c:crossAx val="57788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pie</a:t>
            </a:r>
            <a:r>
              <a:rPr lang="en-IN" baseline="0"/>
              <a:t> chart for quantity sold across pizza category</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729-44D1-810F-D0F75D8B2F0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729-44D1-810F-D0F75D8B2F0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729-44D1-810F-D0F75D8B2F0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729-44D1-810F-D0F75D8B2F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12 Charts-Qty by Category'!$A$2:$A$5</c:f>
              <c:strCache>
                <c:ptCount val="4"/>
                <c:pt idx="0">
                  <c:v>Chicken</c:v>
                </c:pt>
                <c:pt idx="1">
                  <c:v>Classic</c:v>
                </c:pt>
                <c:pt idx="2">
                  <c:v>Supreme</c:v>
                </c:pt>
                <c:pt idx="3">
                  <c:v>Veggie</c:v>
                </c:pt>
              </c:strCache>
            </c:strRef>
          </c:cat>
          <c:val>
            <c:numRef>
              <c:f>'Sheet 12 Charts-Qty by Category'!$B$2:$B$5</c:f>
              <c:numCache>
                <c:formatCode>General</c:formatCode>
                <c:ptCount val="4"/>
                <c:pt idx="0">
                  <c:v>117</c:v>
                </c:pt>
                <c:pt idx="1">
                  <c:v>159</c:v>
                </c:pt>
                <c:pt idx="2">
                  <c:v>121</c:v>
                </c:pt>
                <c:pt idx="3">
                  <c:v>113</c:v>
                </c:pt>
              </c:numCache>
            </c:numRef>
          </c:val>
          <c:extLst>
            <c:ext xmlns:c16="http://schemas.microsoft.com/office/drawing/2014/chart" uri="{C3380CC4-5D6E-409C-BE32-E72D297353CC}">
              <c16:uniqueId val="{00000000-9E29-4981-84F1-DE58AF32CB0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column</a:t>
            </a:r>
            <a:r>
              <a:rPr lang="en-US" baseline="0"/>
              <a:t> chart for revenue across pizza category</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'Sh13 Charts-Revenue by Category'!$A$2:$A$5</c:f>
              <c:strCache>
                <c:ptCount val="4"/>
                <c:pt idx="0">
                  <c:v>Chicken</c:v>
                </c:pt>
                <c:pt idx="1">
                  <c:v>Classic</c:v>
                </c:pt>
                <c:pt idx="2">
                  <c:v>Supreme</c:v>
                </c:pt>
                <c:pt idx="3">
                  <c:v>Veggie</c:v>
                </c:pt>
              </c:strCache>
            </c:strRef>
          </c:cat>
          <c:val>
            <c:numRef>
              <c:f>'Sh13 Charts-Revenue by Category'!$B$2:$B$5</c:f>
              <c:numCache>
                <c:formatCode>General</c:formatCode>
                <c:ptCount val="4"/>
                <c:pt idx="0">
                  <c:v>2103.75</c:v>
                </c:pt>
                <c:pt idx="1">
                  <c:v>2349</c:v>
                </c:pt>
                <c:pt idx="2">
                  <c:v>2127.4</c:v>
                </c:pt>
                <c:pt idx="3">
                  <c:v>1933.7000000000005</c:v>
                </c:pt>
              </c:numCache>
            </c:numRef>
          </c:val>
          <c:extLst>
            <c:ext xmlns:c16="http://schemas.microsoft.com/office/drawing/2014/chart" uri="{C3380CC4-5D6E-409C-BE32-E72D297353CC}">
              <c16:uniqueId val="{00000000-3741-443A-B70E-7B02AA612796}"/>
            </c:ext>
          </c:extLst>
        </c:ser>
        <c:dLbls>
          <c:dLblPos val="outEnd"/>
          <c:showLegendKey val="0"/>
          <c:showVal val="1"/>
          <c:showCatName val="0"/>
          <c:showSerName val="0"/>
          <c:showPercent val="0"/>
          <c:showBubbleSize val="0"/>
        </c:dLbls>
        <c:gapWidth val="444"/>
        <c:overlap val="-90"/>
        <c:axId val="580518224"/>
        <c:axId val="577890232"/>
      </c:barChart>
      <c:catAx>
        <c:axId val="58051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77890232"/>
        <c:crosses val="autoZero"/>
        <c:auto val="1"/>
        <c:lblAlgn val="ctr"/>
        <c:lblOffset val="100"/>
        <c:noMultiLvlLbl val="0"/>
      </c:catAx>
      <c:valAx>
        <c:axId val="577890232"/>
        <c:scaling>
          <c:orientation val="minMax"/>
        </c:scaling>
        <c:delete val="1"/>
        <c:axPos val="l"/>
        <c:numFmt formatCode="General" sourceLinked="1"/>
        <c:majorTickMark val="none"/>
        <c:minorTickMark val="none"/>
        <c:tickLblPos val="nextTo"/>
        <c:crossAx val="58051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pie</a:t>
            </a:r>
            <a:r>
              <a:rPr lang="en-IN" baseline="0"/>
              <a:t> chart for revenue across pizza category</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E61-488E-A103-266E7C0EA8B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E61-488E-A103-266E7C0EA8B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E61-488E-A103-266E7C0EA8B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E61-488E-A103-266E7C0EA8B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'Sh13 Charts-Revenue by Category'!$A$2:$A$5</c:f>
              <c:strCache>
                <c:ptCount val="4"/>
                <c:pt idx="0">
                  <c:v>Chicken</c:v>
                </c:pt>
                <c:pt idx="1">
                  <c:v>Classic</c:v>
                </c:pt>
                <c:pt idx="2">
                  <c:v>Supreme</c:v>
                </c:pt>
                <c:pt idx="3">
                  <c:v>Veggie</c:v>
                </c:pt>
              </c:strCache>
            </c:strRef>
          </c:cat>
          <c:val>
            <c:numRef>
              <c:f>'Sh13 Charts-Revenue by Category'!$B$2:$B$5</c:f>
              <c:numCache>
                <c:formatCode>General</c:formatCode>
                <c:ptCount val="4"/>
                <c:pt idx="0">
                  <c:v>2103.75</c:v>
                </c:pt>
                <c:pt idx="1">
                  <c:v>2349</c:v>
                </c:pt>
                <c:pt idx="2">
                  <c:v>2127.4</c:v>
                </c:pt>
                <c:pt idx="3">
                  <c:v>1933.7000000000005</c:v>
                </c:pt>
              </c:numCache>
            </c:numRef>
          </c:val>
          <c:extLst>
            <c:ext xmlns:c16="http://schemas.microsoft.com/office/drawing/2014/chart" uri="{C3380CC4-5D6E-409C-BE32-E72D297353CC}">
              <c16:uniqueId val="{00000000-0468-4E59-BD7A-A33E28A1A02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Column</a:t>
            </a:r>
            <a:r>
              <a:rPr lang="en-IN" baseline="0"/>
              <a:t> chart for quantity sold across pizza names</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14 Charts-Qty by Name'!$A$2:$A$33</c:f>
              <c:strCache>
                <c:ptCount val="32"/>
                <c:pt idx="0">
                  <c:v>The Barbecue Chicken Pizza</c:v>
                </c:pt>
                <c:pt idx="1">
                  <c:v>The Big Meat Pizza</c:v>
                </c:pt>
                <c:pt idx="2">
                  <c:v>The Brie Carre Pizza</c:v>
                </c:pt>
                <c:pt idx="3">
                  <c:v>The Calabrese Pizza</c:v>
                </c:pt>
                <c:pt idx="4">
                  <c:v>The California Chicken Pizza</c:v>
                </c:pt>
                <c:pt idx="5">
                  <c:v>The Chicken Alfredo Pizza</c:v>
                </c:pt>
                <c:pt idx="6">
                  <c:v>The Chicken Pesto Pizza</c:v>
                </c:pt>
                <c:pt idx="7">
                  <c:v>The Classic Deluxe Pizza</c:v>
                </c:pt>
                <c:pt idx="8">
                  <c:v>The Five Cheese Pizza</c:v>
                </c:pt>
                <c:pt idx="9">
                  <c:v>The Four Cheese Pizza</c:v>
                </c:pt>
                <c:pt idx="10">
                  <c:v>The Greek Pizza</c:v>
                </c:pt>
                <c:pt idx="11">
                  <c:v>The Green Garden Pizza</c:v>
                </c:pt>
                <c:pt idx="12">
                  <c:v>The Hawaiian Pizza</c:v>
                </c:pt>
                <c:pt idx="13">
                  <c:v>The Italian Capocollo Pizza</c:v>
                </c:pt>
                <c:pt idx="14">
                  <c:v>The Italian Supreme Pizza</c:v>
                </c:pt>
                <c:pt idx="15">
                  <c:v>The Italian Vegetables Pizza</c:v>
                </c:pt>
                <c:pt idx="16">
                  <c:v>The Mediterranean Pizza</c:v>
                </c:pt>
                <c:pt idx="17">
                  <c:v>The Mexicana Pizza</c:v>
                </c:pt>
                <c:pt idx="18">
                  <c:v>The Napolitana Pizza</c:v>
                </c:pt>
                <c:pt idx="19">
                  <c:v>The Pepper Salami Pizza</c:v>
                </c:pt>
                <c:pt idx="20">
                  <c:v>The Pepperoni Pizza</c:v>
                </c:pt>
                <c:pt idx="21">
                  <c:v>The Pepperoni, Mushroom, and Peppers Pizza</c:v>
                </c:pt>
                <c:pt idx="22">
                  <c:v>The Prosciutto and Arugula Pizza</c:v>
                </c:pt>
                <c:pt idx="23">
                  <c:v>The Sicilian Pizza</c:v>
                </c:pt>
                <c:pt idx="24">
                  <c:v>The Soppressata Pizza</c:v>
                </c:pt>
                <c:pt idx="25">
                  <c:v>The Southwest Chicken Pizza</c:v>
                </c:pt>
                <c:pt idx="26">
                  <c:v>The Spicy Italian Pizza</c:v>
                </c:pt>
                <c:pt idx="27">
                  <c:v>The Spinach and Feta Pizza</c:v>
                </c:pt>
                <c:pt idx="28">
                  <c:v>The Spinach Pesto Pizza</c:v>
                </c:pt>
                <c:pt idx="29">
                  <c:v>The Spinach Supreme Pizza</c:v>
                </c:pt>
                <c:pt idx="30">
                  <c:v>The Thai Chicken Pizza</c:v>
                </c:pt>
                <c:pt idx="31">
                  <c:v>The Vegetables + Vegetables Pizza</c:v>
                </c:pt>
              </c:strCache>
            </c:strRef>
          </c:cat>
          <c:val>
            <c:numRef>
              <c:f>'Sheet 14 Charts-Qty by Name'!$B$2:$B$33</c:f>
              <c:numCache>
                <c:formatCode>General</c:formatCode>
                <c:ptCount val="32"/>
                <c:pt idx="0">
                  <c:v>29</c:v>
                </c:pt>
                <c:pt idx="1">
                  <c:v>21</c:v>
                </c:pt>
                <c:pt idx="2">
                  <c:v>1</c:v>
                </c:pt>
                <c:pt idx="3">
                  <c:v>2</c:v>
                </c:pt>
                <c:pt idx="4">
                  <c:v>24</c:v>
                </c:pt>
                <c:pt idx="5">
                  <c:v>10</c:v>
                </c:pt>
                <c:pt idx="6">
                  <c:v>9</c:v>
                </c:pt>
                <c:pt idx="7">
                  <c:v>21</c:v>
                </c:pt>
                <c:pt idx="8">
                  <c:v>17</c:v>
                </c:pt>
                <c:pt idx="9">
                  <c:v>17</c:v>
                </c:pt>
                <c:pt idx="10">
                  <c:v>21</c:v>
                </c:pt>
                <c:pt idx="11">
                  <c:v>9</c:v>
                </c:pt>
                <c:pt idx="12">
                  <c:v>22</c:v>
                </c:pt>
                <c:pt idx="13">
                  <c:v>20</c:v>
                </c:pt>
                <c:pt idx="14">
                  <c:v>28</c:v>
                </c:pt>
                <c:pt idx="15">
                  <c:v>10</c:v>
                </c:pt>
                <c:pt idx="16">
                  <c:v>7</c:v>
                </c:pt>
                <c:pt idx="17">
                  <c:v>19</c:v>
                </c:pt>
                <c:pt idx="18">
                  <c:v>15</c:v>
                </c:pt>
                <c:pt idx="19">
                  <c:v>13</c:v>
                </c:pt>
                <c:pt idx="20">
                  <c:v>29</c:v>
                </c:pt>
                <c:pt idx="21">
                  <c:v>10</c:v>
                </c:pt>
                <c:pt idx="22">
                  <c:v>16</c:v>
                </c:pt>
                <c:pt idx="23">
                  <c:v>17</c:v>
                </c:pt>
                <c:pt idx="24">
                  <c:v>6</c:v>
                </c:pt>
                <c:pt idx="25">
                  <c:v>18</c:v>
                </c:pt>
                <c:pt idx="26">
                  <c:v>23</c:v>
                </c:pt>
                <c:pt idx="27">
                  <c:v>9</c:v>
                </c:pt>
                <c:pt idx="28">
                  <c:v>10</c:v>
                </c:pt>
                <c:pt idx="29">
                  <c:v>15</c:v>
                </c:pt>
                <c:pt idx="30">
                  <c:v>27</c:v>
                </c:pt>
                <c:pt idx="31">
                  <c:v>15</c:v>
                </c:pt>
              </c:numCache>
            </c:numRef>
          </c:val>
          <c:extLst>
            <c:ext xmlns:c16="http://schemas.microsoft.com/office/drawing/2014/chart" uri="{C3380CC4-5D6E-409C-BE32-E72D297353CC}">
              <c16:uniqueId val="{00000000-91EE-45CE-8B04-AD4FE82FC2FC}"/>
            </c:ext>
          </c:extLst>
        </c:ser>
        <c:dLbls>
          <c:dLblPos val="outEnd"/>
          <c:showLegendKey val="0"/>
          <c:showVal val="1"/>
          <c:showCatName val="0"/>
          <c:showSerName val="0"/>
          <c:showPercent val="0"/>
          <c:showBubbleSize val="0"/>
        </c:dLbls>
        <c:gapWidth val="444"/>
        <c:overlap val="-90"/>
        <c:axId val="707945096"/>
        <c:axId val="707945456"/>
      </c:barChart>
      <c:catAx>
        <c:axId val="707945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07945456"/>
        <c:crosses val="autoZero"/>
        <c:auto val="1"/>
        <c:lblAlgn val="ctr"/>
        <c:lblOffset val="100"/>
        <c:noMultiLvlLbl val="0"/>
      </c:catAx>
      <c:valAx>
        <c:axId val="707945456"/>
        <c:scaling>
          <c:orientation val="minMax"/>
        </c:scaling>
        <c:delete val="1"/>
        <c:axPos val="l"/>
        <c:numFmt formatCode="General" sourceLinked="1"/>
        <c:majorTickMark val="none"/>
        <c:minorTickMark val="none"/>
        <c:tickLblPos val="nextTo"/>
        <c:crossAx val="707945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PIE</a:t>
            </a:r>
            <a:r>
              <a:rPr lang="en-IN" baseline="0"/>
              <a:t> CHART FOR QUANTITY SOLD ACROSS PIZZA NAMES</a:t>
            </a:r>
            <a:endParaRPr lang="en-IN"/>
          </a:p>
        </c:rich>
      </c:tx>
      <c:layout>
        <c:manualLayout>
          <c:xMode val="edge"/>
          <c:yMode val="edge"/>
          <c:x val="1.0388888888888895E-2"/>
          <c:y val="1.60642570281124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24-4A9A-AC2A-945FBC50614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24-4A9A-AC2A-945FBC50614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F24-4A9A-AC2A-945FBC50614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F24-4A9A-AC2A-945FBC50614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F24-4A9A-AC2A-945FBC50614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F24-4A9A-AC2A-945FBC50614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F24-4A9A-AC2A-945FBC50614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F24-4A9A-AC2A-945FBC50614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F24-4A9A-AC2A-945FBC506145}"/>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F24-4A9A-AC2A-945FBC506145}"/>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3F24-4A9A-AC2A-945FBC506145}"/>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3F24-4A9A-AC2A-945FBC506145}"/>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3F24-4A9A-AC2A-945FBC506145}"/>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3F24-4A9A-AC2A-945FBC506145}"/>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3F24-4A9A-AC2A-945FBC506145}"/>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3F24-4A9A-AC2A-945FBC506145}"/>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3F24-4A9A-AC2A-945FBC506145}"/>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3F24-4A9A-AC2A-945FBC506145}"/>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3F24-4A9A-AC2A-945FBC506145}"/>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3F24-4A9A-AC2A-945FBC506145}"/>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3F24-4A9A-AC2A-945FBC506145}"/>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3F24-4A9A-AC2A-945FBC506145}"/>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3F24-4A9A-AC2A-945FBC506145}"/>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3F24-4A9A-AC2A-945FBC506145}"/>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3F24-4A9A-AC2A-945FBC506145}"/>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3F24-4A9A-AC2A-945FBC506145}"/>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3F24-4A9A-AC2A-945FBC506145}"/>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3F24-4A9A-AC2A-945FBC506145}"/>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3F24-4A9A-AC2A-945FBC506145}"/>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3F24-4A9A-AC2A-945FBC506145}"/>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CD9-4943-A5FB-C584047FE24B}"/>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3F24-4A9A-AC2A-945FBC50614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 14 Charts-Qty by Name'!$A$2:$A$33</c:f>
              <c:strCache>
                <c:ptCount val="32"/>
                <c:pt idx="0">
                  <c:v>The Barbecue Chicken Pizza</c:v>
                </c:pt>
                <c:pt idx="1">
                  <c:v>The Big Meat Pizza</c:v>
                </c:pt>
                <c:pt idx="2">
                  <c:v>The Brie Carre Pizza</c:v>
                </c:pt>
                <c:pt idx="3">
                  <c:v>The Calabrese Pizza</c:v>
                </c:pt>
                <c:pt idx="4">
                  <c:v>The California Chicken Pizza</c:v>
                </c:pt>
                <c:pt idx="5">
                  <c:v>The Chicken Alfredo Pizza</c:v>
                </c:pt>
                <c:pt idx="6">
                  <c:v>The Chicken Pesto Pizza</c:v>
                </c:pt>
                <c:pt idx="7">
                  <c:v>The Classic Deluxe Pizza</c:v>
                </c:pt>
                <c:pt idx="8">
                  <c:v>The Five Cheese Pizza</c:v>
                </c:pt>
                <c:pt idx="9">
                  <c:v>The Four Cheese Pizza</c:v>
                </c:pt>
                <c:pt idx="10">
                  <c:v>The Greek Pizza</c:v>
                </c:pt>
                <c:pt idx="11">
                  <c:v>The Green Garden Pizza</c:v>
                </c:pt>
                <c:pt idx="12">
                  <c:v>The Hawaiian Pizza</c:v>
                </c:pt>
                <c:pt idx="13">
                  <c:v>The Italian Capocollo Pizza</c:v>
                </c:pt>
                <c:pt idx="14">
                  <c:v>The Italian Supreme Pizza</c:v>
                </c:pt>
                <c:pt idx="15">
                  <c:v>The Italian Vegetables Pizza</c:v>
                </c:pt>
                <c:pt idx="16">
                  <c:v>The Mediterranean Pizza</c:v>
                </c:pt>
                <c:pt idx="17">
                  <c:v>The Mexicana Pizza</c:v>
                </c:pt>
                <c:pt idx="18">
                  <c:v>The Napolitana Pizza</c:v>
                </c:pt>
                <c:pt idx="19">
                  <c:v>The Pepper Salami Pizza</c:v>
                </c:pt>
                <c:pt idx="20">
                  <c:v>The Pepperoni Pizza</c:v>
                </c:pt>
                <c:pt idx="21">
                  <c:v>The Pepperoni, Mushroom, and Peppers Pizza</c:v>
                </c:pt>
                <c:pt idx="22">
                  <c:v>The Prosciutto and Arugula Pizza</c:v>
                </c:pt>
                <c:pt idx="23">
                  <c:v>The Sicilian Pizza</c:v>
                </c:pt>
                <c:pt idx="24">
                  <c:v>The Soppressata Pizza</c:v>
                </c:pt>
                <c:pt idx="25">
                  <c:v>The Southwest Chicken Pizza</c:v>
                </c:pt>
                <c:pt idx="26">
                  <c:v>The Spicy Italian Pizza</c:v>
                </c:pt>
                <c:pt idx="27">
                  <c:v>The Spinach and Feta Pizza</c:v>
                </c:pt>
                <c:pt idx="28">
                  <c:v>The Spinach Pesto Pizza</c:v>
                </c:pt>
                <c:pt idx="29">
                  <c:v>The Spinach Supreme Pizza</c:v>
                </c:pt>
                <c:pt idx="30">
                  <c:v>The Thai Chicken Pizza</c:v>
                </c:pt>
                <c:pt idx="31">
                  <c:v>The Vegetables + Vegetables Pizza</c:v>
                </c:pt>
              </c:strCache>
            </c:strRef>
          </c:cat>
          <c:val>
            <c:numRef>
              <c:f>'Sheet 14 Charts-Qty by Name'!$B$2:$B$33</c:f>
              <c:numCache>
                <c:formatCode>General</c:formatCode>
                <c:ptCount val="32"/>
                <c:pt idx="0">
                  <c:v>29</c:v>
                </c:pt>
                <c:pt idx="1">
                  <c:v>21</c:v>
                </c:pt>
                <c:pt idx="2">
                  <c:v>1</c:v>
                </c:pt>
                <c:pt idx="3">
                  <c:v>2</c:v>
                </c:pt>
                <c:pt idx="4">
                  <c:v>24</c:v>
                </c:pt>
                <c:pt idx="5">
                  <c:v>10</c:v>
                </c:pt>
                <c:pt idx="6">
                  <c:v>9</c:v>
                </c:pt>
                <c:pt idx="7">
                  <c:v>21</c:v>
                </c:pt>
                <c:pt idx="8">
                  <c:v>17</c:v>
                </c:pt>
                <c:pt idx="9">
                  <c:v>17</c:v>
                </c:pt>
                <c:pt idx="10">
                  <c:v>21</c:v>
                </c:pt>
                <c:pt idx="11">
                  <c:v>9</c:v>
                </c:pt>
                <c:pt idx="12">
                  <c:v>22</c:v>
                </c:pt>
                <c:pt idx="13">
                  <c:v>20</c:v>
                </c:pt>
                <c:pt idx="14">
                  <c:v>28</c:v>
                </c:pt>
                <c:pt idx="15">
                  <c:v>10</c:v>
                </c:pt>
                <c:pt idx="16">
                  <c:v>7</c:v>
                </c:pt>
                <c:pt idx="17">
                  <c:v>19</c:v>
                </c:pt>
                <c:pt idx="18">
                  <c:v>15</c:v>
                </c:pt>
                <c:pt idx="19">
                  <c:v>13</c:v>
                </c:pt>
                <c:pt idx="20">
                  <c:v>29</c:v>
                </c:pt>
                <c:pt idx="21">
                  <c:v>10</c:v>
                </c:pt>
                <c:pt idx="22">
                  <c:v>16</c:v>
                </c:pt>
                <c:pt idx="23">
                  <c:v>17</c:v>
                </c:pt>
                <c:pt idx="24">
                  <c:v>6</c:v>
                </c:pt>
                <c:pt idx="25">
                  <c:v>18</c:v>
                </c:pt>
                <c:pt idx="26">
                  <c:v>23</c:v>
                </c:pt>
                <c:pt idx="27">
                  <c:v>9</c:v>
                </c:pt>
                <c:pt idx="28">
                  <c:v>10</c:v>
                </c:pt>
                <c:pt idx="29">
                  <c:v>15</c:v>
                </c:pt>
                <c:pt idx="30">
                  <c:v>27</c:v>
                </c:pt>
                <c:pt idx="31">
                  <c:v>15</c:v>
                </c:pt>
              </c:numCache>
            </c:numRef>
          </c:val>
          <c:extLst>
            <c:ext xmlns:c16="http://schemas.microsoft.com/office/drawing/2014/chart" uri="{C3380CC4-5D6E-409C-BE32-E72D297353CC}">
              <c16:uniqueId val="{00000000-BCD9-4943-A5FB-C584047FE24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492475940507433"/>
          <c:y val="9.49766520148837E-2"/>
          <c:w val="0.33674190726159231"/>
          <c:h val="0.9009434061706141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Column</a:t>
            </a:r>
            <a:r>
              <a:rPr lang="en-IN" baseline="0"/>
              <a:t> chart for revenue across pizza names</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15 Charts-Revenue by Name'!$A$2:$A$33</c:f>
              <c:strCache>
                <c:ptCount val="32"/>
                <c:pt idx="0">
                  <c:v>The Barbecue Chicken Pizza</c:v>
                </c:pt>
                <c:pt idx="1">
                  <c:v>The Big Meat Pizza</c:v>
                </c:pt>
                <c:pt idx="2">
                  <c:v>The Brie Carre Pizza</c:v>
                </c:pt>
                <c:pt idx="3">
                  <c:v>The Calabrese Pizza</c:v>
                </c:pt>
                <c:pt idx="4">
                  <c:v>The California Chicken Pizza</c:v>
                </c:pt>
                <c:pt idx="5">
                  <c:v>The Chicken Alfredo Pizza</c:v>
                </c:pt>
                <c:pt idx="6">
                  <c:v>The Chicken Pesto Pizza</c:v>
                </c:pt>
                <c:pt idx="7">
                  <c:v>The Classic Deluxe Pizza</c:v>
                </c:pt>
                <c:pt idx="8">
                  <c:v>The Five Cheese Pizza</c:v>
                </c:pt>
                <c:pt idx="9">
                  <c:v>The Four Cheese Pizza</c:v>
                </c:pt>
                <c:pt idx="10">
                  <c:v>The Greek Pizza</c:v>
                </c:pt>
                <c:pt idx="11">
                  <c:v>The Green Garden Pizza</c:v>
                </c:pt>
                <c:pt idx="12">
                  <c:v>The Hawaiian Pizza</c:v>
                </c:pt>
                <c:pt idx="13">
                  <c:v>The Italian Capocollo Pizza</c:v>
                </c:pt>
                <c:pt idx="14">
                  <c:v>The Italian Supreme Pizza</c:v>
                </c:pt>
                <c:pt idx="15">
                  <c:v>The Italian Vegetables Pizza</c:v>
                </c:pt>
                <c:pt idx="16">
                  <c:v>The Mediterranean Pizza</c:v>
                </c:pt>
                <c:pt idx="17">
                  <c:v>The Mexicana Pizza</c:v>
                </c:pt>
                <c:pt idx="18">
                  <c:v>The Napolitana Pizza</c:v>
                </c:pt>
                <c:pt idx="19">
                  <c:v>The Pepper Salami Pizza</c:v>
                </c:pt>
                <c:pt idx="20">
                  <c:v>The Pepperoni Pizza</c:v>
                </c:pt>
                <c:pt idx="21">
                  <c:v>The Pepperoni, Mushroom, and Peppers Pizza</c:v>
                </c:pt>
                <c:pt idx="22">
                  <c:v>The Prosciutto and Arugula Pizza</c:v>
                </c:pt>
                <c:pt idx="23">
                  <c:v>The Sicilian Pizza</c:v>
                </c:pt>
                <c:pt idx="24">
                  <c:v>The Soppressata Pizza</c:v>
                </c:pt>
                <c:pt idx="25">
                  <c:v>The Southwest Chicken Pizza</c:v>
                </c:pt>
                <c:pt idx="26">
                  <c:v>The Spicy Italian Pizza</c:v>
                </c:pt>
                <c:pt idx="27">
                  <c:v>The Spinach and Feta Pizza</c:v>
                </c:pt>
                <c:pt idx="28">
                  <c:v>The Spinach Pesto Pizza</c:v>
                </c:pt>
                <c:pt idx="29">
                  <c:v>The Spinach Supreme Pizza</c:v>
                </c:pt>
                <c:pt idx="30">
                  <c:v>The Thai Chicken Pizza</c:v>
                </c:pt>
                <c:pt idx="31">
                  <c:v>The Vegetables + Vegetables Pizza</c:v>
                </c:pt>
              </c:strCache>
            </c:strRef>
          </c:cat>
          <c:val>
            <c:numRef>
              <c:f>'Sheet 15 Charts-Revenue by Name'!$B$2:$B$33</c:f>
              <c:numCache>
                <c:formatCode>General</c:formatCode>
                <c:ptCount val="32"/>
                <c:pt idx="0">
                  <c:v>517.75</c:v>
                </c:pt>
                <c:pt idx="1">
                  <c:v>252</c:v>
                </c:pt>
                <c:pt idx="2">
                  <c:v>23.65</c:v>
                </c:pt>
                <c:pt idx="3">
                  <c:v>32.5</c:v>
                </c:pt>
                <c:pt idx="4">
                  <c:v>438</c:v>
                </c:pt>
                <c:pt idx="5">
                  <c:v>175.5</c:v>
                </c:pt>
                <c:pt idx="6">
                  <c:v>162.75</c:v>
                </c:pt>
                <c:pt idx="7">
                  <c:v>330</c:v>
                </c:pt>
                <c:pt idx="8">
                  <c:v>314.5</c:v>
                </c:pt>
                <c:pt idx="9">
                  <c:v>285.94999999999993</c:v>
                </c:pt>
                <c:pt idx="10">
                  <c:v>361</c:v>
                </c:pt>
                <c:pt idx="11">
                  <c:v>124.25</c:v>
                </c:pt>
                <c:pt idx="12">
                  <c:v>302</c:v>
                </c:pt>
                <c:pt idx="13">
                  <c:v>361.5</c:v>
                </c:pt>
                <c:pt idx="14">
                  <c:v>509.25</c:v>
                </c:pt>
                <c:pt idx="15">
                  <c:v>164.25</c:v>
                </c:pt>
                <c:pt idx="16">
                  <c:v>120.75</c:v>
                </c:pt>
                <c:pt idx="17">
                  <c:v>342.75</c:v>
                </c:pt>
                <c:pt idx="18">
                  <c:v>247</c:v>
                </c:pt>
                <c:pt idx="19">
                  <c:v>228</c:v>
                </c:pt>
                <c:pt idx="20">
                  <c:v>362.5</c:v>
                </c:pt>
                <c:pt idx="21">
                  <c:v>133</c:v>
                </c:pt>
                <c:pt idx="22">
                  <c:v>261.5</c:v>
                </c:pt>
                <c:pt idx="23">
                  <c:v>284.25</c:v>
                </c:pt>
                <c:pt idx="24">
                  <c:v>124.5</c:v>
                </c:pt>
                <c:pt idx="25">
                  <c:v>317.5</c:v>
                </c:pt>
                <c:pt idx="26">
                  <c:v>435.5</c:v>
                </c:pt>
                <c:pt idx="27">
                  <c:v>153.25</c:v>
                </c:pt>
                <c:pt idx="28">
                  <c:v>170.25</c:v>
                </c:pt>
                <c:pt idx="29">
                  <c:v>228.25</c:v>
                </c:pt>
                <c:pt idx="30">
                  <c:v>492.25</c:v>
                </c:pt>
                <c:pt idx="31">
                  <c:v>257.75</c:v>
                </c:pt>
              </c:numCache>
            </c:numRef>
          </c:val>
          <c:extLst>
            <c:ext xmlns:c16="http://schemas.microsoft.com/office/drawing/2014/chart" uri="{C3380CC4-5D6E-409C-BE32-E72D297353CC}">
              <c16:uniqueId val="{00000000-6311-44F8-B654-957C61A35EA3}"/>
            </c:ext>
          </c:extLst>
        </c:ser>
        <c:dLbls>
          <c:dLblPos val="outEnd"/>
          <c:showLegendKey val="0"/>
          <c:showVal val="1"/>
          <c:showCatName val="0"/>
          <c:showSerName val="0"/>
          <c:showPercent val="0"/>
          <c:showBubbleSize val="0"/>
        </c:dLbls>
        <c:gapWidth val="444"/>
        <c:overlap val="-90"/>
        <c:axId val="582928808"/>
        <c:axId val="582930248"/>
      </c:barChart>
      <c:catAx>
        <c:axId val="582928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82930248"/>
        <c:crosses val="autoZero"/>
        <c:auto val="1"/>
        <c:lblAlgn val="ctr"/>
        <c:lblOffset val="100"/>
        <c:noMultiLvlLbl val="0"/>
      </c:catAx>
      <c:valAx>
        <c:axId val="582930248"/>
        <c:scaling>
          <c:orientation val="minMax"/>
        </c:scaling>
        <c:delete val="1"/>
        <c:axPos val="l"/>
        <c:numFmt formatCode="General" sourceLinked="1"/>
        <c:majorTickMark val="none"/>
        <c:minorTickMark val="none"/>
        <c:tickLblPos val="nextTo"/>
        <c:crossAx val="582928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PIE</a:t>
            </a:r>
            <a:r>
              <a:rPr lang="en-IN" baseline="0"/>
              <a:t> CHART FOR REVENUE ACROSS PIZZA NAMES</a:t>
            </a:r>
            <a:endParaRPr lang="en-IN"/>
          </a:p>
        </c:rich>
      </c:tx>
      <c:layout>
        <c:manualLayout>
          <c:xMode val="edge"/>
          <c:yMode val="edge"/>
          <c:x val="9.3471128608923794E-3"/>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C38-4677-800A-BAE5DD5A656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C38-4677-800A-BAE5DD5A656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C38-4677-800A-BAE5DD5A656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C38-4677-800A-BAE5DD5A656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C38-4677-800A-BAE5DD5A656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C38-4677-800A-BAE5DD5A656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C38-4677-800A-BAE5DD5A656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C38-4677-800A-BAE5DD5A656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C38-4677-800A-BAE5DD5A656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C38-4677-800A-BAE5DD5A6561}"/>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9C38-4677-800A-BAE5DD5A6561}"/>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9C38-4677-800A-BAE5DD5A6561}"/>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9C38-4677-800A-BAE5DD5A6561}"/>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9C38-4677-800A-BAE5DD5A6561}"/>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9C38-4677-800A-BAE5DD5A6561}"/>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9C38-4677-800A-BAE5DD5A6561}"/>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9C38-4677-800A-BAE5DD5A6561}"/>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9C38-4677-800A-BAE5DD5A6561}"/>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9C38-4677-800A-BAE5DD5A6561}"/>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9C38-4677-800A-BAE5DD5A6561}"/>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9C38-4677-800A-BAE5DD5A6561}"/>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9C38-4677-800A-BAE5DD5A6561}"/>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9C38-4677-800A-BAE5DD5A6561}"/>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9C38-4677-800A-BAE5DD5A6561}"/>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9C38-4677-800A-BAE5DD5A6561}"/>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9C38-4677-800A-BAE5DD5A6561}"/>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9C38-4677-800A-BAE5DD5A6561}"/>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9C38-4677-800A-BAE5DD5A6561}"/>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9C38-4677-800A-BAE5DD5A6561}"/>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9C38-4677-800A-BAE5DD5A6561}"/>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9C38-4677-800A-BAE5DD5A6561}"/>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9C38-4677-800A-BAE5DD5A656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 15 Charts-Revenue by Name'!$A$2:$A$33</c:f>
              <c:strCache>
                <c:ptCount val="32"/>
                <c:pt idx="0">
                  <c:v>The Barbecue Chicken Pizza</c:v>
                </c:pt>
                <c:pt idx="1">
                  <c:v>The Big Meat Pizza</c:v>
                </c:pt>
                <c:pt idx="2">
                  <c:v>The Brie Carre Pizza</c:v>
                </c:pt>
                <c:pt idx="3">
                  <c:v>The Calabrese Pizza</c:v>
                </c:pt>
                <c:pt idx="4">
                  <c:v>The California Chicken Pizza</c:v>
                </c:pt>
                <c:pt idx="5">
                  <c:v>The Chicken Alfredo Pizza</c:v>
                </c:pt>
                <c:pt idx="6">
                  <c:v>The Chicken Pesto Pizza</c:v>
                </c:pt>
                <c:pt idx="7">
                  <c:v>The Classic Deluxe Pizza</c:v>
                </c:pt>
                <c:pt idx="8">
                  <c:v>The Five Cheese Pizza</c:v>
                </c:pt>
                <c:pt idx="9">
                  <c:v>The Four Cheese Pizza</c:v>
                </c:pt>
                <c:pt idx="10">
                  <c:v>The Greek Pizza</c:v>
                </c:pt>
                <c:pt idx="11">
                  <c:v>The Green Garden Pizza</c:v>
                </c:pt>
                <c:pt idx="12">
                  <c:v>The Hawaiian Pizza</c:v>
                </c:pt>
                <c:pt idx="13">
                  <c:v>The Italian Capocollo Pizza</c:v>
                </c:pt>
                <c:pt idx="14">
                  <c:v>The Italian Supreme Pizza</c:v>
                </c:pt>
                <c:pt idx="15">
                  <c:v>The Italian Vegetables Pizza</c:v>
                </c:pt>
                <c:pt idx="16">
                  <c:v>The Mediterranean Pizza</c:v>
                </c:pt>
                <c:pt idx="17">
                  <c:v>The Mexicana Pizza</c:v>
                </c:pt>
                <c:pt idx="18">
                  <c:v>The Napolitana Pizza</c:v>
                </c:pt>
                <c:pt idx="19">
                  <c:v>The Pepper Salami Pizza</c:v>
                </c:pt>
                <c:pt idx="20">
                  <c:v>The Pepperoni Pizza</c:v>
                </c:pt>
                <c:pt idx="21">
                  <c:v>The Pepperoni, Mushroom, and Peppers Pizza</c:v>
                </c:pt>
                <c:pt idx="22">
                  <c:v>The Prosciutto and Arugula Pizza</c:v>
                </c:pt>
                <c:pt idx="23">
                  <c:v>The Sicilian Pizza</c:v>
                </c:pt>
                <c:pt idx="24">
                  <c:v>The Soppressata Pizza</c:v>
                </c:pt>
                <c:pt idx="25">
                  <c:v>The Southwest Chicken Pizza</c:v>
                </c:pt>
                <c:pt idx="26">
                  <c:v>The Spicy Italian Pizza</c:v>
                </c:pt>
                <c:pt idx="27">
                  <c:v>The Spinach and Feta Pizza</c:v>
                </c:pt>
                <c:pt idx="28">
                  <c:v>The Spinach Pesto Pizza</c:v>
                </c:pt>
                <c:pt idx="29">
                  <c:v>The Spinach Supreme Pizza</c:v>
                </c:pt>
                <c:pt idx="30">
                  <c:v>The Thai Chicken Pizza</c:v>
                </c:pt>
                <c:pt idx="31">
                  <c:v>The Vegetables + Vegetables Pizza</c:v>
                </c:pt>
              </c:strCache>
            </c:strRef>
          </c:cat>
          <c:val>
            <c:numRef>
              <c:f>'Sheet 15 Charts-Revenue by Name'!$B$2:$B$33</c:f>
              <c:numCache>
                <c:formatCode>General</c:formatCode>
                <c:ptCount val="32"/>
                <c:pt idx="0">
                  <c:v>517.75</c:v>
                </c:pt>
                <c:pt idx="1">
                  <c:v>252</c:v>
                </c:pt>
                <c:pt idx="2">
                  <c:v>23.65</c:v>
                </c:pt>
                <c:pt idx="3">
                  <c:v>32.5</c:v>
                </c:pt>
                <c:pt idx="4">
                  <c:v>438</c:v>
                </c:pt>
                <c:pt idx="5">
                  <c:v>175.5</c:v>
                </c:pt>
                <c:pt idx="6">
                  <c:v>162.75</c:v>
                </c:pt>
                <c:pt idx="7">
                  <c:v>330</c:v>
                </c:pt>
                <c:pt idx="8">
                  <c:v>314.5</c:v>
                </c:pt>
                <c:pt idx="9">
                  <c:v>285.94999999999993</c:v>
                </c:pt>
                <c:pt idx="10">
                  <c:v>361</c:v>
                </c:pt>
                <c:pt idx="11">
                  <c:v>124.25</c:v>
                </c:pt>
                <c:pt idx="12">
                  <c:v>302</c:v>
                </c:pt>
                <c:pt idx="13">
                  <c:v>361.5</c:v>
                </c:pt>
                <c:pt idx="14">
                  <c:v>509.25</c:v>
                </c:pt>
                <c:pt idx="15">
                  <c:v>164.25</c:v>
                </c:pt>
                <c:pt idx="16">
                  <c:v>120.75</c:v>
                </c:pt>
                <c:pt idx="17">
                  <c:v>342.75</c:v>
                </c:pt>
                <c:pt idx="18">
                  <c:v>247</c:v>
                </c:pt>
                <c:pt idx="19">
                  <c:v>228</c:v>
                </c:pt>
                <c:pt idx="20">
                  <c:v>362.5</c:v>
                </c:pt>
                <c:pt idx="21">
                  <c:v>133</c:v>
                </c:pt>
                <c:pt idx="22">
                  <c:v>261.5</c:v>
                </c:pt>
                <c:pt idx="23">
                  <c:v>284.25</c:v>
                </c:pt>
                <c:pt idx="24">
                  <c:v>124.5</c:v>
                </c:pt>
                <c:pt idx="25">
                  <c:v>317.5</c:v>
                </c:pt>
                <c:pt idx="26">
                  <c:v>435.5</c:v>
                </c:pt>
                <c:pt idx="27">
                  <c:v>153.25</c:v>
                </c:pt>
                <c:pt idx="28">
                  <c:v>170.25</c:v>
                </c:pt>
                <c:pt idx="29">
                  <c:v>228.25</c:v>
                </c:pt>
                <c:pt idx="30">
                  <c:v>492.25</c:v>
                </c:pt>
                <c:pt idx="31">
                  <c:v>257.75</c:v>
                </c:pt>
              </c:numCache>
            </c:numRef>
          </c:val>
          <c:extLst>
            <c:ext xmlns:c16="http://schemas.microsoft.com/office/drawing/2014/chart" uri="{C3380CC4-5D6E-409C-BE32-E72D297353CC}">
              <c16:uniqueId val="{00000000-B279-4EB2-974B-42EE7B282ED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436920384951877"/>
          <c:y val="8.3345468913160053E-2"/>
          <c:w val="0.35063079615048121"/>
          <c:h val="0.9023177311169436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absolute">
    <xdr:from>
      <xdr:col>9</xdr:col>
      <xdr:colOff>44450</xdr:colOff>
      <xdr:row>0</xdr:row>
      <xdr:rowOff>1</xdr:rowOff>
    </xdr:from>
    <xdr:to>
      <xdr:col>12</xdr:col>
      <xdr:colOff>44450</xdr:colOff>
      <xdr:row>6</xdr:row>
      <xdr:rowOff>101601</xdr:rowOff>
    </xdr:to>
    <mc:AlternateContent xmlns:mc="http://schemas.openxmlformats.org/markup-compatibility/2006" xmlns:sle15="http://schemas.microsoft.com/office/drawing/2012/slicer">
      <mc:Choice Requires="sle15">
        <xdr:graphicFrame macro="">
          <xdr:nvGraphicFramePr>
            <xdr:cNvPr id="29" name="quantity">
              <a:extLst>
                <a:ext uri="{FF2B5EF4-FFF2-40B4-BE49-F238E27FC236}">
                  <a16:creationId xmlns:a16="http://schemas.microsoft.com/office/drawing/2014/main" id="{249BAF8B-AC87-7C84-0990-39C367B8C1B4}"/>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8794750" y="1"/>
              <a:ext cx="1828800" cy="1206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38100</xdr:colOff>
      <xdr:row>6</xdr:row>
      <xdr:rowOff>133351</xdr:rowOff>
    </xdr:from>
    <xdr:to>
      <xdr:col>12</xdr:col>
      <xdr:colOff>38100</xdr:colOff>
      <xdr:row>14</xdr:row>
      <xdr:rowOff>101601</xdr:rowOff>
    </xdr:to>
    <mc:AlternateContent xmlns:mc="http://schemas.openxmlformats.org/markup-compatibility/2006" xmlns:sle15="http://schemas.microsoft.com/office/drawing/2012/slicer">
      <mc:Choice Requires="sle15">
        <xdr:graphicFrame macro="">
          <xdr:nvGraphicFramePr>
            <xdr:cNvPr id="30" name="order_date">
              <a:extLst>
                <a:ext uri="{FF2B5EF4-FFF2-40B4-BE49-F238E27FC236}">
                  <a16:creationId xmlns:a16="http://schemas.microsoft.com/office/drawing/2014/main" id="{BEDE78EB-DAC4-812D-E634-5122731A984A}"/>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8788400" y="1238251"/>
              <a:ext cx="1828800" cy="14414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31750</xdr:colOff>
      <xdr:row>14</xdr:row>
      <xdr:rowOff>165100</xdr:rowOff>
    </xdr:from>
    <xdr:to>
      <xdr:col>12</xdr:col>
      <xdr:colOff>31750</xdr:colOff>
      <xdr:row>28</xdr:row>
      <xdr:rowOff>111125</xdr:rowOff>
    </xdr:to>
    <mc:AlternateContent xmlns:mc="http://schemas.openxmlformats.org/markup-compatibility/2006" xmlns:sle15="http://schemas.microsoft.com/office/drawing/2012/slicer">
      <mc:Choice Requires="sle15">
        <xdr:graphicFrame macro="">
          <xdr:nvGraphicFramePr>
            <xdr:cNvPr id="31" name="unit_price">
              <a:extLst>
                <a:ext uri="{FF2B5EF4-FFF2-40B4-BE49-F238E27FC236}">
                  <a16:creationId xmlns:a16="http://schemas.microsoft.com/office/drawing/2014/main" id="{FEC45271-98E1-637D-DB74-CE99CCE1E790}"/>
                </a:ext>
              </a:extLst>
            </xdr:cNvPr>
            <xdr:cNvGraphicFramePr/>
          </xdr:nvGraphicFramePr>
          <xdr:xfrm>
            <a:off x="0" y="0"/>
            <a:ext cx="0" cy="0"/>
          </xdr:xfrm>
          <a:graphic>
            <a:graphicData uri="http://schemas.microsoft.com/office/drawing/2010/slicer">
              <sle:slicer xmlns:sle="http://schemas.microsoft.com/office/drawing/2010/slicer" name="unit_price"/>
            </a:graphicData>
          </a:graphic>
        </xdr:graphicFrame>
      </mc:Choice>
      <mc:Fallback xmlns="">
        <xdr:sp macro="" textlink="">
          <xdr:nvSpPr>
            <xdr:cNvPr id="0" name=""/>
            <xdr:cNvSpPr>
              <a:spLocks noTextEdit="1"/>
            </xdr:cNvSpPr>
          </xdr:nvSpPr>
          <xdr:spPr>
            <a:xfrm>
              <a:off x="8782050" y="2743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57150</xdr:colOff>
      <xdr:row>28</xdr:row>
      <xdr:rowOff>171450</xdr:rowOff>
    </xdr:from>
    <xdr:to>
      <xdr:col>12</xdr:col>
      <xdr:colOff>57150</xdr:colOff>
      <xdr:row>42</xdr:row>
      <xdr:rowOff>117475</xdr:rowOff>
    </xdr:to>
    <mc:AlternateContent xmlns:mc="http://schemas.openxmlformats.org/markup-compatibility/2006" xmlns:sle15="http://schemas.microsoft.com/office/drawing/2012/slicer">
      <mc:Choice Requires="sle15">
        <xdr:graphicFrame macro="">
          <xdr:nvGraphicFramePr>
            <xdr:cNvPr id="32" name="total_price">
              <a:extLst>
                <a:ext uri="{FF2B5EF4-FFF2-40B4-BE49-F238E27FC236}">
                  <a16:creationId xmlns:a16="http://schemas.microsoft.com/office/drawing/2014/main" id="{76190BCC-EDCF-2B62-6D1C-83559578899D}"/>
                </a:ext>
              </a:extLst>
            </xdr:cNvPr>
            <xdr:cNvGraphicFramePr/>
          </xdr:nvGraphicFramePr>
          <xdr:xfrm>
            <a:off x="0" y="0"/>
            <a:ext cx="0" cy="0"/>
          </xdr:xfrm>
          <a:graphic>
            <a:graphicData uri="http://schemas.microsoft.com/office/drawing/2010/slicer">
              <sle:slicer xmlns:sle="http://schemas.microsoft.com/office/drawing/2010/slicer" name="total_price"/>
            </a:graphicData>
          </a:graphic>
        </xdr:graphicFrame>
      </mc:Choice>
      <mc:Fallback xmlns="">
        <xdr:sp macro="" textlink="">
          <xdr:nvSpPr>
            <xdr:cNvPr id="0" name=""/>
            <xdr:cNvSpPr>
              <a:spLocks noTextEdit="1"/>
            </xdr:cNvSpPr>
          </xdr:nvSpPr>
          <xdr:spPr>
            <a:xfrm>
              <a:off x="8807450" y="5327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241300</xdr:colOff>
      <xdr:row>0</xdr:row>
      <xdr:rowOff>0</xdr:rowOff>
    </xdr:from>
    <xdr:to>
      <xdr:col>15</xdr:col>
      <xdr:colOff>241300</xdr:colOff>
      <xdr:row>7</xdr:row>
      <xdr:rowOff>152400</xdr:rowOff>
    </xdr:to>
    <mc:AlternateContent xmlns:mc="http://schemas.openxmlformats.org/markup-compatibility/2006" xmlns:sle15="http://schemas.microsoft.com/office/drawing/2012/slicer">
      <mc:Choice Requires="sle15">
        <xdr:graphicFrame macro="">
          <xdr:nvGraphicFramePr>
            <xdr:cNvPr id="33" name="pizza_size">
              <a:extLst>
                <a:ext uri="{FF2B5EF4-FFF2-40B4-BE49-F238E27FC236}">
                  <a16:creationId xmlns:a16="http://schemas.microsoft.com/office/drawing/2014/main" id="{E9EBC632-B223-BD8C-F4C4-5DBCC603A253}"/>
                </a:ext>
              </a:extLst>
            </xdr:cNvPr>
            <xdr:cNvGraphicFramePr/>
          </xdr:nvGraphicFramePr>
          <xdr:xfrm>
            <a:off x="0" y="0"/>
            <a:ext cx="0" cy="0"/>
          </xdr:xfrm>
          <a:graphic>
            <a:graphicData uri="http://schemas.microsoft.com/office/drawing/2010/slicer">
              <sle:slicer xmlns:sle="http://schemas.microsoft.com/office/drawing/2010/slicer" name="pizza_size"/>
            </a:graphicData>
          </a:graphic>
        </xdr:graphicFrame>
      </mc:Choice>
      <mc:Fallback xmlns="">
        <xdr:sp macro="" textlink="">
          <xdr:nvSpPr>
            <xdr:cNvPr id="0" name=""/>
            <xdr:cNvSpPr>
              <a:spLocks noTextEdit="1"/>
            </xdr:cNvSpPr>
          </xdr:nvSpPr>
          <xdr:spPr>
            <a:xfrm>
              <a:off x="10820400" y="0"/>
              <a:ext cx="1828800" cy="14414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184150</xdr:colOff>
      <xdr:row>8</xdr:row>
      <xdr:rowOff>50801</xdr:rowOff>
    </xdr:from>
    <xdr:to>
      <xdr:col>15</xdr:col>
      <xdr:colOff>184150</xdr:colOff>
      <xdr:row>16</xdr:row>
      <xdr:rowOff>50801</xdr:rowOff>
    </xdr:to>
    <mc:AlternateContent xmlns:mc="http://schemas.openxmlformats.org/markup-compatibility/2006" xmlns:sle15="http://schemas.microsoft.com/office/drawing/2012/slicer">
      <mc:Choice Requires="sle15">
        <xdr:graphicFrame macro="">
          <xdr:nvGraphicFramePr>
            <xdr:cNvPr id="34" name="pizza_category">
              <a:extLst>
                <a:ext uri="{FF2B5EF4-FFF2-40B4-BE49-F238E27FC236}">
                  <a16:creationId xmlns:a16="http://schemas.microsoft.com/office/drawing/2014/main" id="{DE68D554-FB48-BB36-351F-A42418ED5E98}"/>
                </a:ext>
              </a:extLst>
            </xdr:cNvPr>
            <xdr:cNvGraphicFramePr/>
          </xdr:nvGraphicFramePr>
          <xdr:xfrm>
            <a:off x="0" y="0"/>
            <a:ext cx="0" cy="0"/>
          </xdr:xfrm>
          <a:graphic>
            <a:graphicData uri="http://schemas.microsoft.com/office/drawing/2010/slicer">
              <sle:slicer xmlns:sle="http://schemas.microsoft.com/office/drawing/2010/slicer" name="pizza_category"/>
            </a:graphicData>
          </a:graphic>
        </xdr:graphicFrame>
      </mc:Choice>
      <mc:Fallback xmlns="">
        <xdr:sp macro="" textlink="">
          <xdr:nvSpPr>
            <xdr:cNvPr id="0" name=""/>
            <xdr:cNvSpPr>
              <a:spLocks noTextEdit="1"/>
            </xdr:cNvSpPr>
          </xdr:nvSpPr>
          <xdr:spPr>
            <a:xfrm>
              <a:off x="10763250" y="1524001"/>
              <a:ext cx="1828800" cy="14732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184150</xdr:colOff>
      <xdr:row>16</xdr:row>
      <xdr:rowOff>133350</xdr:rowOff>
    </xdr:from>
    <xdr:to>
      <xdr:col>15</xdr:col>
      <xdr:colOff>184150</xdr:colOff>
      <xdr:row>30</xdr:row>
      <xdr:rowOff>79375</xdr:rowOff>
    </xdr:to>
    <mc:AlternateContent xmlns:mc="http://schemas.openxmlformats.org/markup-compatibility/2006" xmlns:sle15="http://schemas.microsoft.com/office/drawing/2012/slicer">
      <mc:Choice Requires="sle15">
        <xdr:graphicFrame macro="">
          <xdr:nvGraphicFramePr>
            <xdr:cNvPr id="35" name="pizza_name">
              <a:extLst>
                <a:ext uri="{FF2B5EF4-FFF2-40B4-BE49-F238E27FC236}">
                  <a16:creationId xmlns:a16="http://schemas.microsoft.com/office/drawing/2014/main" id="{83E39365-835A-47A0-96BC-FAD68473242E}"/>
                </a:ext>
              </a:extLst>
            </xdr:cNvPr>
            <xdr:cNvGraphicFramePr/>
          </xdr:nvGraphicFramePr>
          <xdr:xfrm>
            <a:off x="0" y="0"/>
            <a:ext cx="0" cy="0"/>
          </xdr:xfrm>
          <a:graphic>
            <a:graphicData uri="http://schemas.microsoft.com/office/drawing/2010/slicer">
              <sle:slicer xmlns:sle="http://schemas.microsoft.com/office/drawing/2010/slicer" name="pizza_name"/>
            </a:graphicData>
          </a:graphic>
        </xdr:graphicFrame>
      </mc:Choice>
      <mc:Fallback xmlns="">
        <xdr:sp macro="" textlink="">
          <xdr:nvSpPr>
            <xdr:cNvPr id="0" name=""/>
            <xdr:cNvSpPr>
              <a:spLocks noTextEdit="1"/>
            </xdr:cNvSpPr>
          </xdr:nvSpPr>
          <xdr:spPr>
            <a:xfrm>
              <a:off x="10763250" y="3079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590550</xdr:colOff>
      <xdr:row>1</xdr:row>
      <xdr:rowOff>50800</xdr:rowOff>
    </xdr:from>
    <xdr:to>
      <xdr:col>11</xdr:col>
      <xdr:colOff>285750</xdr:colOff>
      <xdr:row>16</xdr:row>
      <xdr:rowOff>31750</xdr:rowOff>
    </xdr:to>
    <xdr:graphicFrame macro="">
      <xdr:nvGraphicFramePr>
        <xdr:cNvPr id="2" name="Chart 1">
          <a:extLst>
            <a:ext uri="{FF2B5EF4-FFF2-40B4-BE49-F238E27FC236}">
              <a16:creationId xmlns:a16="http://schemas.microsoft.com/office/drawing/2014/main" id="{40DAB23C-CA4F-883C-69A9-3E4FC803A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25400</xdr:colOff>
      <xdr:row>1</xdr:row>
      <xdr:rowOff>133350</xdr:rowOff>
    </xdr:from>
    <xdr:to>
      <xdr:col>11</xdr:col>
      <xdr:colOff>330200</xdr:colOff>
      <xdr:row>16</xdr:row>
      <xdr:rowOff>114300</xdr:rowOff>
    </xdr:to>
    <xdr:graphicFrame macro="">
      <xdr:nvGraphicFramePr>
        <xdr:cNvPr id="2" name="Chart 1">
          <a:extLst>
            <a:ext uri="{FF2B5EF4-FFF2-40B4-BE49-F238E27FC236}">
              <a16:creationId xmlns:a16="http://schemas.microsoft.com/office/drawing/2014/main" id="{EA2BBD0B-AD8E-267E-523A-1A6FCDFA1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590550</xdr:colOff>
      <xdr:row>1</xdr:row>
      <xdr:rowOff>152400</xdr:rowOff>
    </xdr:from>
    <xdr:to>
      <xdr:col>11</xdr:col>
      <xdr:colOff>285750</xdr:colOff>
      <xdr:row>16</xdr:row>
      <xdr:rowOff>133350</xdr:rowOff>
    </xdr:to>
    <xdr:graphicFrame macro="">
      <xdr:nvGraphicFramePr>
        <xdr:cNvPr id="2" name="Chart 1">
          <a:extLst>
            <a:ext uri="{FF2B5EF4-FFF2-40B4-BE49-F238E27FC236}">
              <a16:creationId xmlns:a16="http://schemas.microsoft.com/office/drawing/2014/main" id="{0B50975D-7D15-9AD2-3E2F-3482ABCF6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603250</xdr:colOff>
      <xdr:row>1</xdr:row>
      <xdr:rowOff>139700</xdr:rowOff>
    </xdr:from>
    <xdr:to>
      <xdr:col>11</xdr:col>
      <xdr:colOff>298450</xdr:colOff>
      <xdr:row>16</xdr:row>
      <xdr:rowOff>120650</xdr:rowOff>
    </xdr:to>
    <xdr:graphicFrame macro="">
      <xdr:nvGraphicFramePr>
        <xdr:cNvPr id="2" name="Chart 1">
          <a:extLst>
            <a:ext uri="{FF2B5EF4-FFF2-40B4-BE49-F238E27FC236}">
              <a16:creationId xmlns:a16="http://schemas.microsoft.com/office/drawing/2014/main" id="{28A00A01-8715-3814-06A7-AB444810B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581025</xdr:colOff>
      <xdr:row>0</xdr:row>
      <xdr:rowOff>95250</xdr:rowOff>
    </xdr:from>
    <xdr:to>
      <xdr:col>10</xdr:col>
      <xdr:colOff>276225</xdr:colOff>
      <xdr:row>21</xdr:row>
      <xdr:rowOff>12700</xdr:rowOff>
    </xdr:to>
    <xdr:graphicFrame macro="">
      <xdr:nvGraphicFramePr>
        <xdr:cNvPr id="2" name="Chart 1">
          <a:extLst>
            <a:ext uri="{FF2B5EF4-FFF2-40B4-BE49-F238E27FC236}">
              <a16:creationId xmlns:a16="http://schemas.microsoft.com/office/drawing/2014/main" id="{A1E54A22-5ACD-99FC-1BC2-999EF784F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412749</xdr:colOff>
      <xdr:row>0</xdr:row>
      <xdr:rowOff>114300</xdr:rowOff>
    </xdr:from>
    <xdr:to>
      <xdr:col>16</xdr:col>
      <xdr:colOff>301624</xdr:colOff>
      <xdr:row>15</xdr:row>
      <xdr:rowOff>95250</xdr:rowOff>
    </xdr:to>
    <xdr:graphicFrame macro="">
      <xdr:nvGraphicFramePr>
        <xdr:cNvPr id="4" name="Chart 3">
          <a:extLst>
            <a:ext uri="{FF2B5EF4-FFF2-40B4-BE49-F238E27FC236}">
              <a16:creationId xmlns:a16="http://schemas.microsoft.com/office/drawing/2014/main" id="{BA41876E-CAE2-BB69-1CF0-E80BD0C49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244475</xdr:colOff>
      <xdr:row>0</xdr:row>
      <xdr:rowOff>107950</xdr:rowOff>
    </xdr:from>
    <xdr:to>
      <xdr:col>9</xdr:col>
      <xdr:colOff>549275</xdr:colOff>
      <xdr:row>15</xdr:row>
      <xdr:rowOff>88900</xdr:rowOff>
    </xdr:to>
    <xdr:graphicFrame macro="">
      <xdr:nvGraphicFramePr>
        <xdr:cNvPr id="3" name="Chart 2">
          <a:extLst>
            <a:ext uri="{FF2B5EF4-FFF2-40B4-BE49-F238E27FC236}">
              <a16:creationId xmlns:a16="http://schemas.microsoft.com/office/drawing/2014/main" id="{BED53638-6D8B-AE14-75AA-BDACC92B3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3175</xdr:colOff>
      <xdr:row>0</xdr:row>
      <xdr:rowOff>177800</xdr:rowOff>
    </xdr:from>
    <xdr:to>
      <xdr:col>17</xdr:col>
      <xdr:colOff>307975</xdr:colOff>
      <xdr:row>15</xdr:row>
      <xdr:rowOff>158750</xdr:rowOff>
    </xdr:to>
    <xdr:graphicFrame macro="">
      <xdr:nvGraphicFramePr>
        <xdr:cNvPr id="5" name="Chart 4">
          <a:extLst>
            <a:ext uri="{FF2B5EF4-FFF2-40B4-BE49-F238E27FC236}">
              <a16:creationId xmlns:a16="http://schemas.microsoft.com/office/drawing/2014/main" id="{7624C2E1-00BC-B4F5-D2C5-8D8BBE0AB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377825</xdr:colOff>
      <xdr:row>0</xdr:row>
      <xdr:rowOff>88900</xdr:rowOff>
    </xdr:from>
    <xdr:to>
      <xdr:col>10</xdr:col>
      <xdr:colOff>73025</xdr:colOff>
      <xdr:row>15</xdr:row>
      <xdr:rowOff>69850</xdr:rowOff>
    </xdr:to>
    <xdr:graphicFrame macro="">
      <xdr:nvGraphicFramePr>
        <xdr:cNvPr id="2" name="Chart 1">
          <a:extLst>
            <a:ext uri="{FF2B5EF4-FFF2-40B4-BE49-F238E27FC236}">
              <a16:creationId xmlns:a16="http://schemas.microsoft.com/office/drawing/2014/main" id="{D392BB13-586C-B0AF-59CF-2AE642D55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463549</xdr:colOff>
      <xdr:row>0</xdr:row>
      <xdr:rowOff>133350</xdr:rowOff>
    </xdr:from>
    <xdr:to>
      <xdr:col>16</xdr:col>
      <xdr:colOff>200024</xdr:colOff>
      <xdr:row>15</xdr:row>
      <xdr:rowOff>114300</xdr:rowOff>
    </xdr:to>
    <xdr:graphicFrame macro="">
      <xdr:nvGraphicFramePr>
        <xdr:cNvPr id="3" name="Chart 2">
          <a:extLst>
            <a:ext uri="{FF2B5EF4-FFF2-40B4-BE49-F238E27FC236}">
              <a16:creationId xmlns:a16="http://schemas.microsoft.com/office/drawing/2014/main" id="{A2D27859-97E5-7B2D-CB7D-6B40BBF2D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295275</xdr:colOff>
      <xdr:row>0</xdr:row>
      <xdr:rowOff>139700</xdr:rowOff>
    </xdr:from>
    <xdr:to>
      <xdr:col>9</xdr:col>
      <xdr:colOff>600075</xdr:colOff>
      <xdr:row>15</xdr:row>
      <xdr:rowOff>120650</xdr:rowOff>
    </xdr:to>
    <xdr:graphicFrame macro="">
      <xdr:nvGraphicFramePr>
        <xdr:cNvPr id="2" name="Chart 1">
          <a:extLst>
            <a:ext uri="{FF2B5EF4-FFF2-40B4-BE49-F238E27FC236}">
              <a16:creationId xmlns:a16="http://schemas.microsoft.com/office/drawing/2014/main" id="{2066B74C-DA4C-EBEA-458D-B96B5904D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165099</xdr:colOff>
      <xdr:row>1</xdr:row>
      <xdr:rowOff>6350</xdr:rowOff>
    </xdr:from>
    <xdr:to>
      <xdr:col>16</xdr:col>
      <xdr:colOff>222250</xdr:colOff>
      <xdr:row>15</xdr:row>
      <xdr:rowOff>171450</xdr:rowOff>
    </xdr:to>
    <xdr:graphicFrame macro="">
      <xdr:nvGraphicFramePr>
        <xdr:cNvPr id="3" name="Chart 2">
          <a:extLst>
            <a:ext uri="{FF2B5EF4-FFF2-40B4-BE49-F238E27FC236}">
              <a16:creationId xmlns:a16="http://schemas.microsoft.com/office/drawing/2014/main" id="{62BC29DA-D0C3-8EEA-2EA6-7B2197F96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263525</xdr:colOff>
      <xdr:row>0</xdr:row>
      <xdr:rowOff>177800</xdr:rowOff>
    </xdr:from>
    <xdr:to>
      <xdr:col>9</xdr:col>
      <xdr:colOff>568325</xdr:colOff>
      <xdr:row>15</xdr:row>
      <xdr:rowOff>158750</xdr:rowOff>
    </xdr:to>
    <xdr:graphicFrame macro="">
      <xdr:nvGraphicFramePr>
        <xdr:cNvPr id="2" name="Chart 1">
          <a:extLst>
            <a:ext uri="{FF2B5EF4-FFF2-40B4-BE49-F238E27FC236}">
              <a16:creationId xmlns:a16="http://schemas.microsoft.com/office/drawing/2014/main" id="{41C67C9D-D739-23FB-BE14-C85DA37E4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95249</xdr:colOff>
      <xdr:row>1</xdr:row>
      <xdr:rowOff>31750</xdr:rowOff>
    </xdr:from>
    <xdr:to>
      <xdr:col>16</xdr:col>
      <xdr:colOff>390524</xdr:colOff>
      <xdr:row>16</xdr:row>
      <xdr:rowOff>12700</xdr:rowOff>
    </xdr:to>
    <xdr:graphicFrame macro="">
      <xdr:nvGraphicFramePr>
        <xdr:cNvPr id="3" name="Chart 2">
          <a:extLst>
            <a:ext uri="{FF2B5EF4-FFF2-40B4-BE49-F238E27FC236}">
              <a16:creationId xmlns:a16="http://schemas.microsoft.com/office/drawing/2014/main" id="{5A408A59-FC84-B58C-9E45-A4436D4E1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358775</xdr:colOff>
      <xdr:row>0</xdr:row>
      <xdr:rowOff>120650</xdr:rowOff>
    </xdr:from>
    <xdr:to>
      <xdr:col>10</xdr:col>
      <xdr:colOff>53975</xdr:colOff>
      <xdr:row>15</xdr:row>
      <xdr:rowOff>101600</xdr:rowOff>
    </xdr:to>
    <xdr:graphicFrame macro="">
      <xdr:nvGraphicFramePr>
        <xdr:cNvPr id="2" name="Chart 1">
          <a:extLst>
            <a:ext uri="{FF2B5EF4-FFF2-40B4-BE49-F238E27FC236}">
              <a16:creationId xmlns:a16="http://schemas.microsoft.com/office/drawing/2014/main" id="{4E7340C8-D2F3-CDBD-CF7A-94877933F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177799</xdr:colOff>
      <xdr:row>0</xdr:row>
      <xdr:rowOff>139700</xdr:rowOff>
    </xdr:from>
    <xdr:to>
      <xdr:col>17</xdr:col>
      <xdr:colOff>47624</xdr:colOff>
      <xdr:row>15</xdr:row>
      <xdr:rowOff>120650</xdr:rowOff>
    </xdr:to>
    <xdr:graphicFrame macro="">
      <xdr:nvGraphicFramePr>
        <xdr:cNvPr id="3" name="Chart 2">
          <a:extLst>
            <a:ext uri="{FF2B5EF4-FFF2-40B4-BE49-F238E27FC236}">
              <a16:creationId xmlns:a16="http://schemas.microsoft.com/office/drawing/2014/main" id="{E7889D5A-40C3-EA9C-6AF7-12A2DC1D8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104775</xdr:colOff>
      <xdr:row>1</xdr:row>
      <xdr:rowOff>19050</xdr:rowOff>
    </xdr:from>
    <xdr:to>
      <xdr:col>9</xdr:col>
      <xdr:colOff>409575</xdr:colOff>
      <xdr:row>16</xdr:row>
      <xdr:rowOff>0</xdr:rowOff>
    </xdr:to>
    <xdr:graphicFrame macro="">
      <xdr:nvGraphicFramePr>
        <xdr:cNvPr id="2" name="Chart 1">
          <a:extLst>
            <a:ext uri="{FF2B5EF4-FFF2-40B4-BE49-F238E27FC236}">
              <a16:creationId xmlns:a16="http://schemas.microsoft.com/office/drawing/2014/main" id="{A963E338-96D3-49B3-E0FA-5765F47D6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98425</xdr:colOff>
      <xdr:row>16</xdr:row>
      <xdr:rowOff>76200</xdr:rowOff>
    </xdr:from>
    <xdr:to>
      <xdr:col>9</xdr:col>
      <xdr:colOff>403225</xdr:colOff>
      <xdr:row>42</xdr:row>
      <xdr:rowOff>31750</xdr:rowOff>
    </xdr:to>
    <xdr:graphicFrame macro="">
      <xdr:nvGraphicFramePr>
        <xdr:cNvPr id="3" name="Chart 2">
          <a:extLst>
            <a:ext uri="{FF2B5EF4-FFF2-40B4-BE49-F238E27FC236}">
              <a16:creationId xmlns:a16="http://schemas.microsoft.com/office/drawing/2014/main" id="{DF44234A-8E52-A840-4EC0-D31BE10CA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168275</xdr:colOff>
      <xdr:row>1</xdr:row>
      <xdr:rowOff>25400</xdr:rowOff>
    </xdr:from>
    <xdr:to>
      <xdr:col>9</xdr:col>
      <xdr:colOff>473075</xdr:colOff>
      <xdr:row>16</xdr:row>
      <xdr:rowOff>6350</xdr:rowOff>
    </xdr:to>
    <xdr:graphicFrame macro="">
      <xdr:nvGraphicFramePr>
        <xdr:cNvPr id="2" name="Chart 1">
          <a:extLst>
            <a:ext uri="{FF2B5EF4-FFF2-40B4-BE49-F238E27FC236}">
              <a16:creationId xmlns:a16="http://schemas.microsoft.com/office/drawing/2014/main" id="{1C700D91-9CEA-3836-A72C-6ED46E7A6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187325</xdr:colOff>
      <xdr:row>17</xdr:row>
      <xdr:rowOff>44450</xdr:rowOff>
    </xdr:from>
    <xdr:to>
      <xdr:col>9</xdr:col>
      <xdr:colOff>492125</xdr:colOff>
      <xdr:row>36</xdr:row>
      <xdr:rowOff>88900</xdr:rowOff>
    </xdr:to>
    <xdr:graphicFrame macro="">
      <xdr:nvGraphicFramePr>
        <xdr:cNvPr id="3" name="Chart 2">
          <a:extLst>
            <a:ext uri="{FF2B5EF4-FFF2-40B4-BE49-F238E27FC236}">
              <a16:creationId xmlns:a16="http://schemas.microsoft.com/office/drawing/2014/main" id="{9003DE27-76D2-EB3D-58C8-04CBAF407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IN K" refreshedDate="46098.874438773149" createdVersion="8" refreshedVersion="8" minRefreshableVersion="3" recordCount="500" xr:uid="{C81C065D-B664-4A1F-83EC-04CB6729E043}">
  <cacheSource type="worksheet">
    <worksheetSource ref="A1:J501" sheet="Sheet3 Pizza Sales Data Working"/>
  </cacheSource>
  <cacheFields count="12">
    <cacheField name="pizza_id" numFmtId="0">
      <sharedItems containsSemiMixedTypes="0" containsString="0" containsNumber="1" containsInteger="1" minValue="1" maxValue="500"/>
    </cacheField>
    <cacheField name="order_id" numFmtId="0">
      <sharedItems containsSemiMixedTypes="0" containsString="0" containsNumber="1" containsInteger="1" minValue="1" maxValue="214"/>
    </cacheField>
    <cacheField name="quantity" numFmtId="0">
      <sharedItems containsSemiMixedTypes="0" containsString="0" containsNumber="1" containsInteger="1" minValue="1" maxValue="3"/>
    </cacheField>
    <cacheField name="order_date" numFmtId="14">
      <sharedItems containsSemiMixedTypes="0" containsNonDate="0" containsDate="1" containsString="0" minDate="2015-01-01T00:00:00" maxDate="2015-04-02T00:00:00" count="4">
        <d v="2015-01-01T00:00:00"/>
        <d v="2015-02-01T00:00:00"/>
        <d v="2015-03-01T00:00:00"/>
        <d v="2015-04-01T00:00:00"/>
      </sharedItems>
      <fieldGroup par="11"/>
    </cacheField>
    <cacheField name="unit_price" numFmtId="0">
      <sharedItems containsSemiMixedTypes="0" containsString="0" containsNumber="1" minValue="9.75" maxValue="25.5"/>
    </cacheField>
    <cacheField name="total_price" numFmtId="0">
      <sharedItems containsSemiMixedTypes="0" containsString="0" containsNumber="1" minValue="9.75" maxValue="62.25"/>
    </cacheField>
    <cacheField name="pizza_size" numFmtId="0">
      <sharedItems count="4">
        <s v="M"/>
        <s v="L"/>
        <s v="S"/>
        <s v="XL"/>
      </sharedItems>
    </cacheField>
    <cacheField name="pizza_category" numFmtId="0">
      <sharedItems count="4">
        <s v="Classic"/>
        <s v="Veggie"/>
        <s v="Supreme"/>
        <s v="Chicken"/>
      </sharedItems>
    </cacheField>
    <cacheField name="pizza_name" numFmtId="0">
      <sharedItems count="32">
        <s v="The Hawaiian Pizza"/>
        <s v="The Classic Deluxe Pizza"/>
        <s v="The Five Cheese Pizza"/>
        <s v="The Italian Supreme Pizza"/>
        <s v="The Mexicana Pizza"/>
        <s v="The Thai Chicken Pizza"/>
        <s v="The Prosciutto and Arugula Pizza"/>
        <s v="The Barbecue Chicken Pizza"/>
        <s v="The Greek Pizza"/>
        <s v="The Spinach Supreme Pizza"/>
        <s v="The Green Garden Pizza"/>
        <s v="The Italian Capocollo Pizza"/>
        <s v="The Spicy Italian Pizza"/>
        <s v="The Spinach Pesto Pizza"/>
        <s v="The Vegetables + Vegetables Pizza"/>
        <s v="The Southwest Chicken Pizza"/>
        <s v="The California Chicken Pizza"/>
        <s v="The Pepperoni Pizza"/>
        <s v="The Chicken Pesto Pizza"/>
        <s v="The Big Meat Pizza"/>
        <s v="The Soppressata Pizza"/>
        <s v="The Four Cheese Pizza"/>
        <s v="The Napolitana Pizza"/>
        <s v="The Calabrese Pizza"/>
        <s v="The Italian Vegetables Pizza"/>
        <s v="The Mediterranean Pizza"/>
        <s v="The Pepper Salami Pizza"/>
        <s v="The Spinach and Feta Pizza"/>
        <s v="The Sicilian Pizza"/>
        <s v="The Chicken Alfredo Pizza"/>
        <s v="The Pepperoni, Mushroom, and Peppers Pizza"/>
        <s v="The Brie Carre Pizza"/>
      </sharedItems>
    </cacheField>
    <cacheField name="Quantity Sold" numFmtId="0">
      <sharedItems containsBlank="1" containsMixedTypes="1" containsNumber="1" minValue="1.02" maxValue="510" count="5">
        <m/>
        <s v="Total"/>
        <n v="510"/>
        <s v="Average "/>
        <n v="1.02"/>
      </sharedItems>
    </cacheField>
    <cacheField name="Days (order_date)" numFmtId="0" databaseField="0">
      <fieldGroup base="3">
        <rangePr groupBy="days" startDate="2015-01-01T00:00:00" endDate="2015-04-02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4-2015"/>
        </groupItems>
      </fieldGroup>
    </cacheField>
    <cacheField name="Months (order_date)" numFmtId="0" databaseField="0">
      <fieldGroup base="3">
        <rangePr groupBy="months" startDate="2015-01-01T00:00:00" endDate="2015-04-02T00:00:00"/>
        <groupItems count="14">
          <s v="&lt;01-01-2015"/>
          <s v="Jan"/>
          <s v="Feb"/>
          <s v="Mar"/>
          <s v="Apr"/>
          <s v="May"/>
          <s v="Jun"/>
          <s v="Jul"/>
          <s v="Aug"/>
          <s v="Sep"/>
          <s v="Oct"/>
          <s v="Nov"/>
          <s v="Dec"/>
          <s v="&gt;02-04-201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n v="1"/>
    <x v="0"/>
    <n v="13.25"/>
    <n v="13.25"/>
    <x v="0"/>
    <x v="0"/>
    <x v="0"/>
    <x v="0"/>
  </r>
  <r>
    <n v="2"/>
    <n v="2"/>
    <n v="1"/>
    <x v="0"/>
    <n v="16"/>
    <n v="16"/>
    <x v="0"/>
    <x v="0"/>
    <x v="1"/>
    <x v="1"/>
  </r>
  <r>
    <n v="3"/>
    <n v="2"/>
    <n v="1"/>
    <x v="0"/>
    <n v="18.5"/>
    <n v="18.5"/>
    <x v="1"/>
    <x v="1"/>
    <x v="2"/>
    <x v="2"/>
  </r>
  <r>
    <n v="4"/>
    <n v="2"/>
    <n v="1"/>
    <x v="0"/>
    <n v="20.75"/>
    <n v="20.75"/>
    <x v="1"/>
    <x v="2"/>
    <x v="3"/>
    <x v="0"/>
  </r>
  <r>
    <n v="5"/>
    <n v="2"/>
    <n v="1"/>
    <x v="0"/>
    <n v="16"/>
    <n v="16"/>
    <x v="0"/>
    <x v="1"/>
    <x v="4"/>
    <x v="3"/>
  </r>
  <r>
    <n v="6"/>
    <n v="2"/>
    <n v="1"/>
    <x v="0"/>
    <n v="20.75"/>
    <n v="20.75"/>
    <x v="1"/>
    <x v="3"/>
    <x v="5"/>
    <x v="4"/>
  </r>
  <r>
    <n v="7"/>
    <n v="3"/>
    <n v="1"/>
    <x v="0"/>
    <n v="16.5"/>
    <n v="16.5"/>
    <x v="0"/>
    <x v="2"/>
    <x v="3"/>
    <x v="0"/>
  </r>
  <r>
    <n v="8"/>
    <n v="3"/>
    <n v="1"/>
    <x v="0"/>
    <n v="20.75"/>
    <n v="20.75"/>
    <x v="1"/>
    <x v="2"/>
    <x v="6"/>
    <x v="0"/>
  </r>
  <r>
    <n v="9"/>
    <n v="4"/>
    <n v="1"/>
    <x v="0"/>
    <n v="16.5"/>
    <n v="16.5"/>
    <x v="0"/>
    <x v="2"/>
    <x v="3"/>
    <x v="0"/>
  </r>
  <r>
    <n v="10"/>
    <n v="5"/>
    <n v="1"/>
    <x v="0"/>
    <n v="16.5"/>
    <n v="16.5"/>
    <x v="0"/>
    <x v="2"/>
    <x v="3"/>
    <x v="0"/>
  </r>
  <r>
    <n v="11"/>
    <n v="6"/>
    <n v="1"/>
    <x v="0"/>
    <n v="12.75"/>
    <n v="12.75"/>
    <x v="2"/>
    <x v="3"/>
    <x v="7"/>
    <x v="0"/>
  </r>
  <r>
    <n v="12"/>
    <n v="6"/>
    <n v="1"/>
    <x v="0"/>
    <n v="12"/>
    <n v="12"/>
    <x v="2"/>
    <x v="0"/>
    <x v="8"/>
    <x v="0"/>
  </r>
  <r>
    <n v="13"/>
    <n v="7"/>
    <n v="1"/>
    <x v="0"/>
    <n v="12.5"/>
    <n v="12.5"/>
    <x v="2"/>
    <x v="2"/>
    <x v="9"/>
    <x v="0"/>
  </r>
  <r>
    <n v="14"/>
    <n v="8"/>
    <n v="1"/>
    <x v="0"/>
    <n v="12.5"/>
    <n v="12.5"/>
    <x v="2"/>
    <x v="2"/>
    <x v="9"/>
    <x v="0"/>
  </r>
  <r>
    <n v="15"/>
    <n v="9"/>
    <n v="1"/>
    <x v="0"/>
    <n v="12"/>
    <n v="12"/>
    <x v="2"/>
    <x v="0"/>
    <x v="1"/>
    <x v="0"/>
  </r>
  <r>
    <n v="16"/>
    <n v="9"/>
    <n v="1"/>
    <x v="0"/>
    <n v="12"/>
    <n v="12"/>
    <x v="2"/>
    <x v="1"/>
    <x v="10"/>
    <x v="0"/>
  </r>
  <r>
    <n v="17"/>
    <n v="9"/>
    <n v="1"/>
    <x v="0"/>
    <n v="20.5"/>
    <n v="20.5"/>
    <x v="1"/>
    <x v="0"/>
    <x v="11"/>
    <x v="0"/>
  </r>
  <r>
    <n v="18"/>
    <n v="9"/>
    <n v="1"/>
    <x v="0"/>
    <n v="20.75"/>
    <n v="20.75"/>
    <x v="1"/>
    <x v="2"/>
    <x v="3"/>
    <x v="0"/>
  </r>
  <r>
    <n v="19"/>
    <n v="9"/>
    <n v="1"/>
    <x v="0"/>
    <n v="12.5"/>
    <n v="12.5"/>
    <x v="2"/>
    <x v="2"/>
    <x v="3"/>
    <x v="0"/>
  </r>
  <r>
    <n v="20"/>
    <n v="9"/>
    <n v="1"/>
    <x v="0"/>
    <n v="12"/>
    <n v="12"/>
    <x v="2"/>
    <x v="1"/>
    <x v="4"/>
    <x v="0"/>
  </r>
  <r>
    <n v="21"/>
    <n v="9"/>
    <n v="1"/>
    <x v="0"/>
    <n v="20.75"/>
    <n v="20.75"/>
    <x v="1"/>
    <x v="2"/>
    <x v="12"/>
    <x v="0"/>
  </r>
  <r>
    <n v="22"/>
    <n v="9"/>
    <n v="1"/>
    <x v="0"/>
    <n v="20.75"/>
    <n v="20.75"/>
    <x v="1"/>
    <x v="1"/>
    <x v="13"/>
    <x v="0"/>
  </r>
  <r>
    <n v="23"/>
    <n v="9"/>
    <n v="1"/>
    <x v="0"/>
    <n v="12"/>
    <n v="12"/>
    <x v="2"/>
    <x v="1"/>
    <x v="14"/>
    <x v="0"/>
  </r>
  <r>
    <n v="24"/>
    <n v="10"/>
    <n v="1"/>
    <x v="0"/>
    <n v="20.25"/>
    <n v="20.25"/>
    <x v="1"/>
    <x v="1"/>
    <x v="4"/>
    <x v="0"/>
  </r>
  <r>
    <n v="25"/>
    <n v="10"/>
    <n v="1"/>
    <x v="0"/>
    <n v="20.75"/>
    <n v="20.75"/>
    <x v="1"/>
    <x v="3"/>
    <x v="15"/>
    <x v="0"/>
  </r>
  <r>
    <n v="26"/>
    <n v="11"/>
    <n v="1"/>
    <x v="0"/>
    <n v="20.75"/>
    <n v="20.75"/>
    <x v="1"/>
    <x v="3"/>
    <x v="7"/>
    <x v="0"/>
  </r>
  <r>
    <n v="27"/>
    <n v="11"/>
    <n v="1"/>
    <x v="0"/>
    <n v="20.75"/>
    <n v="20.75"/>
    <x v="1"/>
    <x v="3"/>
    <x v="16"/>
    <x v="0"/>
  </r>
  <r>
    <n v="28"/>
    <n v="11"/>
    <n v="1"/>
    <x v="0"/>
    <n v="16.75"/>
    <n v="16.75"/>
    <x v="0"/>
    <x v="3"/>
    <x v="16"/>
    <x v="0"/>
  </r>
  <r>
    <n v="29"/>
    <n v="11"/>
    <n v="1"/>
    <x v="0"/>
    <n v="15.25"/>
    <n v="15.25"/>
    <x v="1"/>
    <x v="0"/>
    <x v="17"/>
    <x v="0"/>
  </r>
  <r>
    <n v="30"/>
    <n v="12"/>
    <n v="1"/>
    <x v="0"/>
    <n v="20.75"/>
    <n v="20.75"/>
    <x v="1"/>
    <x v="3"/>
    <x v="16"/>
    <x v="0"/>
  </r>
  <r>
    <n v="31"/>
    <n v="12"/>
    <n v="1"/>
    <x v="0"/>
    <n v="12.75"/>
    <n v="12.75"/>
    <x v="2"/>
    <x v="3"/>
    <x v="16"/>
    <x v="0"/>
  </r>
  <r>
    <n v="32"/>
    <n v="12"/>
    <n v="1"/>
    <x v="0"/>
    <n v="20.75"/>
    <n v="20.75"/>
    <x v="1"/>
    <x v="3"/>
    <x v="18"/>
    <x v="0"/>
  </r>
  <r>
    <n v="33"/>
    <n v="12"/>
    <n v="1"/>
    <x v="0"/>
    <n v="16.5"/>
    <n v="16.5"/>
    <x v="0"/>
    <x v="2"/>
    <x v="3"/>
    <x v="0"/>
  </r>
  <r>
    <n v="34"/>
    <n v="13"/>
    <n v="1"/>
    <x v="0"/>
    <n v="20.25"/>
    <n v="20.25"/>
    <x v="1"/>
    <x v="1"/>
    <x v="4"/>
    <x v="0"/>
  </r>
  <r>
    <n v="35"/>
    <n v="14"/>
    <n v="1"/>
    <x v="0"/>
    <n v="12"/>
    <n v="12"/>
    <x v="2"/>
    <x v="0"/>
    <x v="8"/>
    <x v="0"/>
  </r>
  <r>
    <n v="36"/>
    <n v="15"/>
    <n v="1"/>
    <x v="0"/>
    <n v="12"/>
    <n v="12"/>
    <x v="2"/>
    <x v="0"/>
    <x v="19"/>
    <x v="0"/>
  </r>
  <r>
    <n v="37"/>
    <n v="15"/>
    <n v="1"/>
    <x v="0"/>
    <n v="18.5"/>
    <n v="18.5"/>
    <x v="1"/>
    <x v="1"/>
    <x v="2"/>
    <x v="0"/>
  </r>
  <r>
    <n v="38"/>
    <n v="15"/>
    <n v="1"/>
    <x v="0"/>
    <n v="20.75"/>
    <n v="20.75"/>
    <x v="1"/>
    <x v="2"/>
    <x v="20"/>
    <x v="0"/>
  </r>
  <r>
    <n v="39"/>
    <n v="15"/>
    <n v="1"/>
    <x v="0"/>
    <n v="12"/>
    <n v="12"/>
    <x v="2"/>
    <x v="0"/>
    <x v="8"/>
    <x v="0"/>
  </r>
  <r>
    <n v="40"/>
    <n v="16"/>
    <n v="1"/>
    <x v="0"/>
    <n v="17.95"/>
    <n v="17.95"/>
    <x v="1"/>
    <x v="1"/>
    <x v="21"/>
    <x v="0"/>
  </r>
  <r>
    <n v="41"/>
    <n v="16"/>
    <n v="1"/>
    <x v="0"/>
    <n v="12"/>
    <n v="12"/>
    <x v="2"/>
    <x v="0"/>
    <x v="22"/>
    <x v="0"/>
  </r>
  <r>
    <n v="42"/>
    <n v="16"/>
    <n v="1"/>
    <x v="0"/>
    <n v="20.75"/>
    <n v="20.75"/>
    <x v="1"/>
    <x v="3"/>
    <x v="5"/>
    <x v="0"/>
  </r>
  <r>
    <n v="43"/>
    <n v="17"/>
    <n v="1"/>
    <x v="0"/>
    <n v="20.75"/>
    <n v="20.75"/>
    <x v="1"/>
    <x v="3"/>
    <x v="7"/>
    <x v="0"/>
  </r>
  <r>
    <n v="44"/>
    <n v="17"/>
    <n v="1"/>
    <x v="0"/>
    <n v="16.25"/>
    <n v="16.25"/>
    <x v="0"/>
    <x v="2"/>
    <x v="23"/>
    <x v="0"/>
  </r>
  <r>
    <n v="45"/>
    <n v="17"/>
    <n v="1"/>
    <x v="0"/>
    <n v="18.5"/>
    <n v="18.5"/>
    <x v="1"/>
    <x v="1"/>
    <x v="2"/>
    <x v="0"/>
  </r>
  <r>
    <n v="46"/>
    <n v="17"/>
    <n v="1"/>
    <x v="0"/>
    <n v="14.75"/>
    <n v="14.75"/>
    <x v="0"/>
    <x v="1"/>
    <x v="21"/>
    <x v="0"/>
  </r>
  <r>
    <n v="47"/>
    <n v="17"/>
    <n v="1"/>
    <x v="0"/>
    <n v="16.5"/>
    <n v="16.5"/>
    <x v="0"/>
    <x v="2"/>
    <x v="3"/>
    <x v="0"/>
  </r>
  <r>
    <n v="48"/>
    <n v="17"/>
    <n v="1"/>
    <x v="0"/>
    <n v="12.75"/>
    <n v="12.75"/>
    <x v="2"/>
    <x v="1"/>
    <x v="24"/>
    <x v="0"/>
  </r>
  <r>
    <n v="49"/>
    <n v="17"/>
    <n v="2"/>
    <x v="0"/>
    <n v="16"/>
    <n v="32"/>
    <x v="0"/>
    <x v="1"/>
    <x v="25"/>
    <x v="0"/>
  </r>
  <r>
    <n v="50"/>
    <n v="17"/>
    <n v="1"/>
    <x v="0"/>
    <n v="20.25"/>
    <n v="20.25"/>
    <x v="1"/>
    <x v="1"/>
    <x v="4"/>
    <x v="0"/>
  </r>
  <r>
    <n v="51"/>
    <n v="17"/>
    <n v="1"/>
    <x v="0"/>
    <n v="12.5"/>
    <n v="12.5"/>
    <x v="2"/>
    <x v="2"/>
    <x v="26"/>
    <x v="0"/>
  </r>
  <r>
    <n v="52"/>
    <n v="17"/>
    <n v="1"/>
    <x v="0"/>
    <n v="20.25"/>
    <n v="20.25"/>
    <x v="1"/>
    <x v="1"/>
    <x v="27"/>
    <x v="0"/>
  </r>
  <r>
    <n v="53"/>
    <n v="18"/>
    <n v="1"/>
    <x v="0"/>
    <n v="20.5"/>
    <n v="20.5"/>
    <x v="1"/>
    <x v="0"/>
    <x v="22"/>
    <x v="0"/>
  </r>
  <r>
    <n v="54"/>
    <n v="19"/>
    <n v="1"/>
    <x v="0"/>
    <n v="20.5"/>
    <n v="20.5"/>
    <x v="1"/>
    <x v="0"/>
    <x v="11"/>
    <x v="0"/>
  </r>
  <r>
    <n v="55"/>
    <n v="19"/>
    <n v="1"/>
    <x v="0"/>
    <n v="20.25"/>
    <n v="20.25"/>
    <x v="1"/>
    <x v="2"/>
    <x v="28"/>
    <x v="0"/>
  </r>
  <r>
    <n v="56"/>
    <n v="20"/>
    <n v="1"/>
    <x v="0"/>
    <n v="12"/>
    <n v="12"/>
    <x v="2"/>
    <x v="0"/>
    <x v="19"/>
    <x v="0"/>
  </r>
  <r>
    <n v="57"/>
    <n v="20"/>
    <n v="1"/>
    <x v="0"/>
    <n v="18.5"/>
    <n v="18.5"/>
    <x v="1"/>
    <x v="1"/>
    <x v="2"/>
    <x v="0"/>
  </r>
  <r>
    <n v="58"/>
    <n v="21"/>
    <n v="1"/>
    <x v="0"/>
    <n v="20.5"/>
    <n v="20.5"/>
    <x v="1"/>
    <x v="0"/>
    <x v="11"/>
    <x v="0"/>
  </r>
  <r>
    <n v="59"/>
    <n v="22"/>
    <n v="1"/>
    <x v="0"/>
    <n v="18.5"/>
    <n v="18.5"/>
    <x v="1"/>
    <x v="1"/>
    <x v="2"/>
    <x v="0"/>
  </r>
  <r>
    <n v="60"/>
    <n v="22"/>
    <n v="1"/>
    <x v="0"/>
    <n v="16"/>
    <n v="16"/>
    <x v="0"/>
    <x v="0"/>
    <x v="11"/>
    <x v="0"/>
  </r>
  <r>
    <n v="61"/>
    <n v="22"/>
    <n v="1"/>
    <x v="0"/>
    <n v="20.75"/>
    <n v="20.75"/>
    <x v="1"/>
    <x v="3"/>
    <x v="15"/>
    <x v="0"/>
  </r>
  <r>
    <n v="62"/>
    <n v="23"/>
    <n v="1"/>
    <x v="0"/>
    <n v="12.75"/>
    <n v="12.75"/>
    <x v="2"/>
    <x v="3"/>
    <x v="15"/>
    <x v="0"/>
  </r>
  <r>
    <n v="63"/>
    <n v="24"/>
    <n v="1"/>
    <x v="0"/>
    <n v="16.75"/>
    <n v="16.75"/>
    <x v="0"/>
    <x v="3"/>
    <x v="7"/>
    <x v="0"/>
  </r>
  <r>
    <n v="64"/>
    <n v="24"/>
    <n v="1"/>
    <x v="0"/>
    <n v="16"/>
    <n v="16"/>
    <x v="0"/>
    <x v="0"/>
    <x v="11"/>
    <x v="0"/>
  </r>
  <r>
    <n v="65"/>
    <n v="24"/>
    <n v="1"/>
    <x v="0"/>
    <n v="12.5"/>
    <n v="12.5"/>
    <x v="0"/>
    <x v="0"/>
    <x v="17"/>
    <x v="0"/>
  </r>
  <r>
    <n v="66"/>
    <n v="24"/>
    <n v="1"/>
    <x v="0"/>
    <n v="12.5"/>
    <n v="12.5"/>
    <x v="2"/>
    <x v="2"/>
    <x v="6"/>
    <x v="0"/>
  </r>
  <r>
    <n v="67"/>
    <n v="25"/>
    <n v="1"/>
    <x v="0"/>
    <n v="16.25"/>
    <n v="16.25"/>
    <x v="0"/>
    <x v="2"/>
    <x v="28"/>
    <x v="0"/>
  </r>
  <r>
    <n v="68"/>
    <n v="25"/>
    <n v="1"/>
    <x v="0"/>
    <n v="20.75"/>
    <n v="20.75"/>
    <x v="1"/>
    <x v="3"/>
    <x v="5"/>
    <x v="0"/>
  </r>
  <r>
    <n v="69"/>
    <n v="26"/>
    <n v="1"/>
    <x v="0"/>
    <n v="12"/>
    <n v="12"/>
    <x v="2"/>
    <x v="0"/>
    <x v="1"/>
    <x v="0"/>
  </r>
  <r>
    <n v="70"/>
    <n v="26"/>
    <n v="1"/>
    <x v="0"/>
    <n v="20.25"/>
    <n v="20.25"/>
    <x v="1"/>
    <x v="1"/>
    <x v="14"/>
    <x v="0"/>
  </r>
  <r>
    <n v="71"/>
    <n v="27"/>
    <n v="1"/>
    <x v="0"/>
    <n v="20.75"/>
    <n v="20.75"/>
    <x v="1"/>
    <x v="3"/>
    <x v="7"/>
    <x v="0"/>
  </r>
  <r>
    <n v="72"/>
    <n v="27"/>
    <n v="1"/>
    <x v="0"/>
    <n v="16"/>
    <n v="16"/>
    <x v="0"/>
    <x v="0"/>
    <x v="1"/>
    <x v="0"/>
  </r>
  <r>
    <n v="73"/>
    <n v="27"/>
    <n v="1"/>
    <x v="0"/>
    <n v="20.25"/>
    <n v="20.25"/>
    <x v="1"/>
    <x v="1"/>
    <x v="27"/>
    <x v="0"/>
  </r>
  <r>
    <n v="74"/>
    <n v="28"/>
    <n v="1"/>
    <x v="0"/>
    <n v="12.75"/>
    <n v="12.75"/>
    <x v="2"/>
    <x v="3"/>
    <x v="29"/>
    <x v="0"/>
  </r>
  <r>
    <n v="75"/>
    <n v="29"/>
    <n v="1"/>
    <x v="0"/>
    <n v="12"/>
    <n v="12"/>
    <x v="2"/>
    <x v="1"/>
    <x v="10"/>
    <x v="0"/>
  </r>
  <r>
    <n v="76"/>
    <n v="30"/>
    <n v="1"/>
    <x v="0"/>
    <n v="20.75"/>
    <n v="20.75"/>
    <x v="1"/>
    <x v="3"/>
    <x v="5"/>
    <x v="0"/>
  </r>
  <r>
    <n v="77"/>
    <n v="31"/>
    <n v="1"/>
    <x v="0"/>
    <n v="16"/>
    <n v="16"/>
    <x v="0"/>
    <x v="1"/>
    <x v="4"/>
    <x v="0"/>
  </r>
  <r>
    <n v="78"/>
    <n v="31"/>
    <n v="1"/>
    <x v="0"/>
    <n v="9.75"/>
    <n v="9.75"/>
    <x v="2"/>
    <x v="0"/>
    <x v="17"/>
    <x v="0"/>
  </r>
  <r>
    <n v="79"/>
    <n v="32"/>
    <n v="1"/>
    <x v="0"/>
    <n v="12"/>
    <n v="12"/>
    <x v="2"/>
    <x v="0"/>
    <x v="19"/>
    <x v="0"/>
  </r>
  <r>
    <n v="80"/>
    <n v="32"/>
    <n v="1"/>
    <x v="0"/>
    <n v="20.25"/>
    <n v="20.25"/>
    <x v="1"/>
    <x v="1"/>
    <x v="10"/>
    <x v="0"/>
  </r>
  <r>
    <n v="81"/>
    <n v="32"/>
    <n v="1"/>
    <x v="0"/>
    <n v="20.5"/>
    <n v="20.5"/>
    <x v="1"/>
    <x v="0"/>
    <x v="11"/>
    <x v="0"/>
  </r>
  <r>
    <n v="82"/>
    <n v="32"/>
    <n v="1"/>
    <x v="0"/>
    <n v="16.5"/>
    <n v="16.5"/>
    <x v="0"/>
    <x v="2"/>
    <x v="3"/>
    <x v="0"/>
  </r>
  <r>
    <n v="83"/>
    <n v="33"/>
    <n v="1"/>
    <x v="0"/>
    <n v="20.75"/>
    <n v="20.75"/>
    <x v="1"/>
    <x v="3"/>
    <x v="7"/>
    <x v="0"/>
  </r>
  <r>
    <n v="84"/>
    <n v="33"/>
    <n v="1"/>
    <x v="0"/>
    <n v="12"/>
    <n v="12"/>
    <x v="2"/>
    <x v="1"/>
    <x v="10"/>
    <x v="0"/>
  </r>
  <r>
    <n v="85"/>
    <n v="34"/>
    <n v="1"/>
    <x v="0"/>
    <n v="12"/>
    <n v="12"/>
    <x v="2"/>
    <x v="0"/>
    <x v="8"/>
    <x v="0"/>
  </r>
  <r>
    <n v="86"/>
    <n v="35"/>
    <n v="1"/>
    <x v="0"/>
    <n v="16"/>
    <n v="16"/>
    <x v="0"/>
    <x v="1"/>
    <x v="10"/>
    <x v="0"/>
  </r>
  <r>
    <n v="87"/>
    <n v="35"/>
    <n v="1"/>
    <x v="0"/>
    <n v="17.5"/>
    <n v="17.5"/>
    <x v="1"/>
    <x v="0"/>
    <x v="30"/>
    <x v="0"/>
  </r>
  <r>
    <n v="88"/>
    <n v="35"/>
    <n v="1"/>
    <x v="0"/>
    <n v="12.5"/>
    <n v="12.5"/>
    <x v="0"/>
    <x v="0"/>
    <x v="17"/>
    <x v="0"/>
  </r>
  <r>
    <n v="89"/>
    <n v="35"/>
    <n v="1"/>
    <x v="0"/>
    <n v="20.75"/>
    <n v="20.75"/>
    <x v="1"/>
    <x v="3"/>
    <x v="5"/>
    <x v="0"/>
  </r>
  <r>
    <n v="90"/>
    <n v="36"/>
    <n v="1"/>
    <x v="0"/>
    <n v="16.75"/>
    <n v="16.75"/>
    <x v="0"/>
    <x v="3"/>
    <x v="7"/>
    <x v="0"/>
  </r>
  <r>
    <n v="91"/>
    <n v="36"/>
    <n v="1"/>
    <x v="0"/>
    <n v="16"/>
    <n v="16"/>
    <x v="0"/>
    <x v="0"/>
    <x v="1"/>
    <x v="0"/>
  </r>
  <r>
    <n v="92"/>
    <n v="37"/>
    <n v="1"/>
    <x v="0"/>
    <n v="20.75"/>
    <n v="20.75"/>
    <x v="1"/>
    <x v="2"/>
    <x v="3"/>
    <x v="0"/>
  </r>
  <r>
    <n v="93"/>
    <n v="37"/>
    <n v="1"/>
    <x v="0"/>
    <n v="20.25"/>
    <n v="20.25"/>
    <x v="1"/>
    <x v="1"/>
    <x v="4"/>
    <x v="0"/>
  </r>
  <r>
    <n v="94"/>
    <n v="38"/>
    <n v="1"/>
    <x v="0"/>
    <n v="10.5"/>
    <n v="10.5"/>
    <x v="2"/>
    <x v="0"/>
    <x v="0"/>
    <x v="0"/>
  </r>
  <r>
    <n v="95"/>
    <n v="38"/>
    <n v="1"/>
    <x v="0"/>
    <n v="20.5"/>
    <n v="20.5"/>
    <x v="1"/>
    <x v="0"/>
    <x v="11"/>
    <x v="0"/>
  </r>
  <r>
    <n v="96"/>
    <n v="39"/>
    <n v="1"/>
    <x v="0"/>
    <n v="20.75"/>
    <n v="20.75"/>
    <x v="1"/>
    <x v="2"/>
    <x v="3"/>
    <x v="0"/>
  </r>
  <r>
    <n v="97"/>
    <n v="40"/>
    <n v="1"/>
    <x v="0"/>
    <n v="17.95"/>
    <n v="17.95"/>
    <x v="1"/>
    <x v="1"/>
    <x v="21"/>
    <x v="0"/>
  </r>
  <r>
    <n v="98"/>
    <n v="40"/>
    <n v="1"/>
    <x v="0"/>
    <n v="12.75"/>
    <n v="12.75"/>
    <x v="2"/>
    <x v="3"/>
    <x v="15"/>
    <x v="0"/>
  </r>
  <r>
    <n v="99"/>
    <n v="41"/>
    <n v="1"/>
    <x v="0"/>
    <n v="14.75"/>
    <n v="14.75"/>
    <x v="0"/>
    <x v="1"/>
    <x v="21"/>
    <x v="0"/>
  </r>
  <r>
    <n v="100"/>
    <n v="41"/>
    <n v="1"/>
    <x v="0"/>
    <n v="12"/>
    <n v="12"/>
    <x v="2"/>
    <x v="1"/>
    <x v="10"/>
    <x v="0"/>
  </r>
  <r>
    <n v="101"/>
    <n v="42"/>
    <n v="1"/>
    <x v="0"/>
    <n v="12"/>
    <n v="12"/>
    <x v="2"/>
    <x v="0"/>
    <x v="19"/>
    <x v="0"/>
  </r>
  <r>
    <n v="102"/>
    <n v="42"/>
    <n v="1"/>
    <x v="0"/>
    <n v="18.5"/>
    <n v="18.5"/>
    <x v="1"/>
    <x v="1"/>
    <x v="2"/>
    <x v="0"/>
  </r>
  <r>
    <n v="103"/>
    <n v="42"/>
    <n v="1"/>
    <x v="0"/>
    <n v="20.25"/>
    <n v="20.25"/>
    <x v="1"/>
    <x v="1"/>
    <x v="4"/>
    <x v="0"/>
  </r>
  <r>
    <n v="104"/>
    <n v="42"/>
    <n v="1"/>
    <x v="0"/>
    <n v="16.5"/>
    <n v="16.5"/>
    <x v="0"/>
    <x v="2"/>
    <x v="26"/>
    <x v="0"/>
  </r>
  <r>
    <n v="105"/>
    <n v="43"/>
    <n v="1"/>
    <x v="0"/>
    <n v="16.75"/>
    <n v="16.75"/>
    <x v="0"/>
    <x v="3"/>
    <x v="29"/>
    <x v="0"/>
  </r>
  <r>
    <n v="106"/>
    <n v="43"/>
    <n v="1"/>
    <x v="0"/>
    <n v="16.5"/>
    <n v="16.5"/>
    <x v="0"/>
    <x v="2"/>
    <x v="3"/>
    <x v="0"/>
  </r>
  <r>
    <n v="107"/>
    <n v="43"/>
    <n v="1"/>
    <x v="0"/>
    <n v="20.75"/>
    <n v="20.75"/>
    <x v="1"/>
    <x v="2"/>
    <x v="26"/>
    <x v="0"/>
  </r>
  <r>
    <n v="108"/>
    <n v="44"/>
    <n v="1"/>
    <x v="0"/>
    <n v="12.5"/>
    <n v="12.5"/>
    <x v="2"/>
    <x v="1"/>
    <x v="13"/>
    <x v="0"/>
  </r>
  <r>
    <n v="109"/>
    <n v="45"/>
    <n v="1"/>
    <x v="0"/>
    <n v="17.95"/>
    <n v="17.95"/>
    <x v="1"/>
    <x v="1"/>
    <x v="21"/>
    <x v="0"/>
  </r>
  <r>
    <n v="110"/>
    <n v="45"/>
    <n v="1"/>
    <x v="0"/>
    <n v="10.5"/>
    <n v="10.5"/>
    <x v="2"/>
    <x v="0"/>
    <x v="0"/>
    <x v="0"/>
  </r>
  <r>
    <n v="111"/>
    <n v="45"/>
    <n v="1"/>
    <x v="0"/>
    <n v="16.75"/>
    <n v="16.75"/>
    <x v="0"/>
    <x v="3"/>
    <x v="5"/>
    <x v="0"/>
  </r>
  <r>
    <n v="112"/>
    <n v="46"/>
    <n v="1"/>
    <x v="0"/>
    <n v="20.75"/>
    <n v="20.75"/>
    <x v="1"/>
    <x v="3"/>
    <x v="18"/>
    <x v="0"/>
  </r>
  <r>
    <n v="113"/>
    <n v="46"/>
    <n v="1"/>
    <x v="0"/>
    <n v="20.5"/>
    <n v="20.5"/>
    <x v="1"/>
    <x v="0"/>
    <x v="1"/>
    <x v="0"/>
  </r>
  <r>
    <n v="114"/>
    <n v="46"/>
    <n v="1"/>
    <x v="0"/>
    <n v="16.75"/>
    <n v="16.75"/>
    <x v="0"/>
    <x v="3"/>
    <x v="5"/>
    <x v="0"/>
  </r>
  <r>
    <n v="115"/>
    <n v="47"/>
    <n v="1"/>
    <x v="0"/>
    <n v="20.75"/>
    <n v="20.75"/>
    <x v="1"/>
    <x v="3"/>
    <x v="15"/>
    <x v="0"/>
  </r>
  <r>
    <n v="116"/>
    <n v="47"/>
    <n v="1"/>
    <x v="0"/>
    <n v="12"/>
    <n v="12"/>
    <x v="2"/>
    <x v="1"/>
    <x v="14"/>
    <x v="0"/>
  </r>
  <r>
    <n v="117"/>
    <n v="48"/>
    <n v="1"/>
    <x v="0"/>
    <n v="16.75"/>
    <n v="16.75"/>
    <x v="0"/>
    <x v="3"/>
    <x v="18"/>
    <x v="0"/>
  </r>
  <r>
    <n v="118"/>
    <n v="48"/>
    <n v="1"/>
    <x v="0"/>
    <n v="12"/>
    <n v="12"/>
    <x v="2"/>
    <x v="1"/>
    <x v="10"/>
    <x v="0"/>
  </r>
  <r>
    <n v="119"/>
    <n v="48"/>
    <n v="1"/>
    <x v="0"/>
    <n v="20.75"/>
    <n v="20.75"/>
    <x v="1"/>
    <x v="2"/>
    <x v="6"/>
    <x v="0"/>
  </r>
  <r>
    <n v="120"/>
    <n v="48"/>
    <n v="1"/>
    <x v="0"/>
    <n v="20.75"/>
    <n v="20.75"/>
    <x v="1"/>
    <x v="2"/>
    <x v="12"/>
    <x v="0"/>
  </r>
  <r>
    <n v="121"/>
    <n v="49"/>
    <n v="1"/>
    <x v="0"/>
    <n v="20.25"/>
    <n v="20.25"/>
    <x v="1"/>
    <x v="2"/>
    <x v="28"/>
    <x v="0"/>
  </r>
  <r>
    <n v="122"/>
    <n v="50"/>
    <n v="1"/>
    <x v="0"/>
    <n v="25.5"/>
    <n v="25.5"/>
    <x v="3"/>
    <x v="0"/>
    <x v="8"/>
    <x v="0"/>
  </r>
  <r>
    <n v="123"/>
    <n v="51"/>
    <n v="1"/>
    <x v="0"/>
    <n v="20.75"/>
    <n v="20.75"/>
    <x v="1"/>
    <x v="3"/>
    <x v="7"/>
    <x v="0"/>
  </r>
  <r>
    <n v="124"/>
    <n v="51"/>
    <n v="1"/>
    <x v="0"/>
    <n v="17.5"/>
    <n v="17.5"/>
    <x v="1"/>
    <x v="0"/>
    <x v="30"/>
    <x v="0"/>
  </r>
  <r>
    <n v="125"/>
    <n v="52"/>
    <n v="1"/>
    <x v="0"/>
    <n v="16.5"/>
    <n v="16.5"/>
    <x v="1"/>
    <x v="0"/>
    <x v="0"/>
    <x v="0"/>
  </r>
  <r>
    <n v="126"/>
    <n v="52"/>
    <n v="1"/>
    <x v="0"/>
    <n v="20.25"/>
    <n v="20.25"/>
    <x v="1"/>
    <x v="1"/>
    <x v="4"/>
    <x v="0"/>
  </r>
  <r>
    <n v="127"/>
    <n v="52"/>
    <n v="1"/>
    <x v="0"/>
    <n v="20.75"/>
    <n v="20.75"/>
    <x v="1"/>
    <x v="2"/>
    <x v="12"/>
    <x v="0"/>
  </r>
  <r>
    <n v="128"/>
    <n v="53"/>
    <n v="1"/>
    <x v="0"/>
    <n v="11"/>
    <n v="11"/>
    <x v="2"/>
    <x v="0"/>
    <x v="30"/>
    <x v="0"/>
  </r>
  <r>
    <n v="129"/>
    <n v="53"/>
    <n v="1"/>
    <x v="0"/>
    <n v="16.5"/>
    <n v="16.5"/>
    <x v="0"/>
    <x v="2"/>
    <x v="9"/>
    <x v="0"/>
  </r>
  <r>
    <n v="130"/>
    <n v="54"/>
    <n v="1"/>
    <x v="0"/>
    <n v="16.5"/>
    <n v="16.5"/>
    <x v="0"/>
    <x v="2"/>
    <x v="6"/>
    <x v="0"/>
  </r>
  <r>
    <n v="131"/>
    <n v="54"/>
    <n v="1"/>
    <x v="0"/>
    <n v="20.75"/>
    <n v="20.75"/>
    <x v="1"/>
    <x v="3"/>
    <x v="5"/>
    <x v="0"/>
  </r>
  <r>
    <n v="132"/>
    <n v="55"/>
    <n v="1"/>
    <x v="0"/>
    <n v="12.5"/>
    <n v="12.5"/>
    <x v="2"/>
    <x v="2"/>
    <x v="26"/>
    <x v="0"/>
  </r>
  <r>
    <n v="133"/>
    <n v="55"/>
    <n v="1"/>
    <x v="0"/>
    <n v="20.75"/>
    <n v="20.75"/>
    <x v="1"/>
    <x v="2"/>
    <x v="12"/>
    <x v="0"/>
  </r>
  <r>
    <n v="134"/>
    <n v="56"/>
    <n v="1"/>
    <x v="0"/>
    <n v="16"/>
    <n v="16"/>
    <x v="0"/>
    <x v="0"/>
    <x v="1"/>
    <x v="0"/>
  </r>
  <r>
    <n v="135"/>
    <n v="56"/>
    <n v="1"/>
    <x v="0"/>
    <n v="20.25"/>
    <n v="20.25"/>
    <x v="1"/>
    <x v="1"/>
    <x v="25"/>
    <x v="0"/>
  </r>
  <r>
    <n v="136"/>
    <n v="56"/>
    <n v="1"/>
    <x v="0"/>
    <n v="16.75"/>
    <n v="16.75"/>
    <x v="0"/>
    <x v="3"/>
    <x v="15"/>
    <x v="0"/>
  </r>
  <r>
    <n v="137"/>
    <n v="57"/>
    <n v="1"/>
    <x v="0"/>
    <n v="16"/>
    <n v="16"/>
    <x v="0"/>
    <x v="0"/>
    <x v="1"/>
    <x v="0"/>
  </r>
  <r>
    <n v="138"/>
    <n v="58"/>
    <n v="1"/>
    <x v="0"/>
    <n v="18.5"/>
    <n v="18.5"/>
    <x v="1"/>
    <x v="1"/>
    <x v="2"/>
    <x v="0"/>
  </r>
  <r>
    <n v="139"/>
    <n v="58"/>
    <n v="1"/>
    <x v="0"/>
    <n v="12.5"/>
    <n v="12.5"/>
    <x v="0"/>
    <x v="0"/>
    <x v="17"/>
    <x v="0"/>
  </r>
  <r>
    <n v="140"/>
    <n v="59"/>
    <n v="1"/>
    <x v="0"/>
    <n v="12.75"/>
    <n v="12.75"/>
    <x v="2"/>
    <x v="1"/>
    <x v="24"/>
    <x v="0"/>
  </r>
  <r>
    <n v="141"/>
    <n v="59"/>
    <n v="1"/>
    <x v="0"/>
    <n v="11"/>
    <n v="11"/>
    <x v="2"/>
    <x v="0"/>
    <x v="30"/>
    <x v="0"/>
  </r>
  <r>
    <n v="142"/>
    <n v="59"/>
    <n v="1"/>
    <x v="0"/>
    <n v="15.25"/>
    <n v="15.25"/>
    <x v="1"/>
    <x v="0"/>
    <x v="17"/>
    <x v="0"/>
  </r>
  <r>
    <n v="143"/>
    <n v="60"/>
    <n v="1"/>
    <x v="0"/>
    <n v="20.75"/>
    <n v="20.75"/>
    <x v="1"/>
    <x v="3"/>
    <x v="18"/>
    <x v="0"/>
  </r>
  <r>
    <n v="144"/>
    <n v="60"/>
    <n v="1"/>
    <x v="0"/>
    <n v="14.75"/>
    <n v="14.75"/>
    <x v="0"/>
    <x v="1"/>
    <x v="21"/>
    <x v="0"/>
  </r>
  <r>
    <n v="145"/>
    <n v="61"/>
    <n v="1"/>
    <x v="0"/>
    <n v="16.75"/>
    <n v="16.75"/>
    <x v="0"/>
    <x v="3"/>
    <x v="7"/>
    <x v="0"/>
  </r>
  <r>
    <n v="146"/>
    <n v="61"/>
    <n v="1"/>
    <x v="0"/>
    <n v="20.75"/>
    <n v="20.75"/>
    <x v="1"/>
    <x v="2"/>
    <x v="3"/>
    <x v="0"/>
  </r>
  <r>
    <n v="147"/>
    <n v="62"/>
    <n v="1"/>
    <x v="0"/>
    <n v="16.75"/>
    <n v="16.75"/>
    <x v="0"/>
    <x v="3"/>
    <x v="7"/>
    <x v="0"/>
  </r>
  <r>
    <n v="148"/>
    <n v="62"/>
    <n v="1"/>
    <x v="0"/>
    <n v="16.5"/>
    <n v="16.5"/>
    <x v="0"/>
    <x v="2"/>
    <x v="9"/>
    <x v="0"/>
  </r>
  <r>
    <n v="149"/>
    <n v="63"/>
    <n v="1"/>
    <x v="0"/>
    <n v="14.5"/>
    <n v="14.5"/>
    <x v="0"/>
    <x v="0"/>
    <x v="30"/>
    <x v="0"/>
  </r>
  <r>
    <n v="150"/>
    <n v="64"/>
    <n v="1"/>
    <x v="0"/>
    <n v="12"/>
    <n v="12"/>
    <x v="2"/>
    <x v="0"/>
    <x v="19"/>
    <x v="0"/>
  </r>
  <r>
    <n v="151"/>
    <n v="65"/>
    <n v="1"/>
    <x v="0"/>
    <n v="11"/>
    <n v="11"/>
    <x v="2"/>
    <x v="0"/>
    <x v="30"/>
    <x v="0"/>
  </r>
  <r>
    <n v="152"/>
    <n v="65"/>
    <n v="1"/>
    <x v="0"/>
    <n v="12.25"/>
    <n v="12.25"/>
    <x v="2"/>
    <x v="2"/>
    <x v="28"/>
    <x v="0"/>
  </r>
  <r>
    <n v="153"/>
    <n v="65"/>
    <n v="1"/>
    <x v="0"/>
    <n v="12.5"/>
    <n v="12.5"/>
    <x v="2"/>
    <x v="2"/>
    <x v="12"/>
    <x v="0"/>
  </r>
  <r>
    <n v="154"/>
    <n v="65"/>
    <n v="1"/>
    <x v="0"/>
    <n v="16.5"/>
    <n v="16.5"/>
    <x v="0"/>
    <x v="2"/>
    <x v="9"/>
    <x v="0"/>
  </r>
  <r>
    <n v="155"/>
    <n v="66"/>
    <n v="1"/>
    <x v="0"/>
    <n v="16"/>
    <n v="16"/>
    <x v="0"/>
    <x v="0"/>
    <x v="1"/>
    <x v="0"/>
  </r>
  <r>
    <n v="156"/>
    <n v="66"/>
    <n v="1"/>
    <x v="0"/>
    <n v="16"/>
    <n v="16"/>
    <x v="0"/>
    <x v="0"/>
    <x v="11"/>
    <x v="0"/>
  </r>
  <r>
    <n v="157"/>
    <n v="67"/>
    <n v="1"/>
    <x v="0"/>
    <n v="20.75"/>
    <n v="20.75"/>
    <x v="1"/>
    <x v="3"/>
    <x v="15"/>
    <x v="0"/>
  </r>
  <r>
    <n v="158"/>
    <n v="68"/>
    <n v="1"/>
    <x v="0"/>
    <n v="16"/>
    <n v="16"/>
    <x v="0"/>
    <x v="0"/>
    <x v="1"/>
    <x v="0"/>
  </r>
  <r>
    <n v="159"/>
    <n v="68"/>
    <n v="1"/>
    <x v="0"/>
    <n v="20.75"/>
    <n v="20.75"/>
    <x v="1"/>
    <x v="2"/>
    <x v="3"/>
    <x v="0"/>
  </r>
  <r>
    <n v="160"/>
    <n v="68"/>
    <n v="1"/>
    <x v="0"/>
    <n v="16.5"/>
    <n v="16.5"/>
    <x v="0"/>
    <x v="2"/>
    <x v="3"/>
    <x v="0"/>
  </r>
  <r>
    <n v="161"/>
    <n v="69"/>
    <n v="1"/>
    <x v="0"/>
    <n v="20.75"/>
    <n v="20.75"/>
    <x v="1"/>
    <x v="3"/>
    <x v="7"/>
    <x v="0"/>
  </r>
  <r>
    <n v="162"/>
    <n v="70"/>
    <n v="1"/>
    <x v="1"/>
    <n v="12.75"/>
    <n v="12.75"/>
    <x v="2"/>
    <x v="1"/>
    <x v="24"/>
    <x v="0"/>
  </r>
  <r>
    <n v="163"/>
    <n v="70"/>
    <n v="1"/>
    <x v="1"/>
    <n v="20.75"/>
    <n v="20.75"/>
    <x v="1"/>
    <x v="2"/>
    <x v="20"/>
    <x v="0"/>
  </r>
  <r>
    <n v="164"/>
    <n v="71"/>
    <n v="1"/>
    <x v="1"/>
    <n v="20.75"/>
    <n v="20.75"/>
    <x v="1"/>
    <x v="3"/>
    <x v="5"/>
    <x v="0"/>
  </r>
  <r>
    <n v="165"/>
    <n v="72"/>
    <n v="1"/>
    <x v="1"/>
    <n v="20.25"/>
    <n v="20.25"/>
    <x v="1"/>
    <x v="1"/>
    <x v="27"/>
    <x v="0"/>
  </r>
  <r>
    <n v="166"/>
    <n v="73"/>
    <n v="1"/>
    <x v="1"/>
    <n v="12.75"/>
    <n v="12.75"/>
    <x v="2"/>
    <x v="3"/>
    <x v="5"/>
    <x v="0"/>
  </r>
  <r>
    <n v="167"/>
    <n v="74"/>
    <n v="1"/>
    <x v="1"/>
    <n v="18.5"/>
    <n v="18.5"/>
    <x v="1"/>
    <x v="1"/>
    <x v="2"/>
    <x v="0"/>
  </r>
  <r>
    <n v="168"/>
    <n v="74"/>
    <n v="1"/>
    <x v="1"/>
    <n v="20.25"/>
    <n v="20.25"/>
    <x v="1"/>
    <x v="1"/>
    <x v="4"/>
    <x v="0"/>
  </r>
  <r>
    <n v="169"/>
    <n v="74"/>
    <n v="1"/>
    <x v="1"/>
    <n v="12.5"/>
    <n v="12.5"/>
    <x v="2"/>
    <x v="1"/>
    <x v="13"/>
    <x v="0"/>
  </r>
  <r>
    <n v="170"/>
    <n v="74"/>
    <n v="1"/>
    <x v="1"/>
    <n v="20.75"/>
    <n v="20.75"/>
    <x v="1"/>
    <x v="2"/>
    <x v="9"/>
    <x v="0"/>
  </r>
  <r>
    <n v="171"/>
    <n v="75"/>
    <n v="1"/>
    <x v="1"/>
    <n v="12.5"/>
    <n v="12.5"/>
    <x v="2"/>
    <x v="2"/>
    <x v="3"/>
    <x v="0"/>
  </r>
  <r>
    <n v="172"/>
    <n v="75"/>
    <n v="1"/>
    <x v="1"/>
    <n v="20.25"/>
    <n v="20.25"/>
    <x v="1"/>
    <x v="1"/>
    <x v="25"/>
    <x v="0"/>
  </r>
  <r>
    <n v="173"/>
    <n v="75"/>
    <n v="1"/>
    <x v="1"/>
    <n v="20.5"/>
    <n v="20.5"/>
    <x v="1"/>
    <x v="0"/>
    <x v="22"/>
    <x v="0"/>
  </r>
  <r>
    <n v="174"/>
    <n v="76"/>
    <n v="1"/>
    <x v="1"/>
    <n v="12"/>
    <n v="12"/>
    <x v="2"/>
    <x v="0"/>
    <x v="19"/>
    <x v="0"/>
  </r>
  <r>
    <n v="175"/>
    <n v="76"/>
    <n v="1"/>
    <x v="1"/>
    <n v="16.5"/>
    <n v="16.5"/>
    <x v="1"/>
    <x v="0"/>
    <x v="0"/>
    <x v="0"/>
  </r>
  <r>
    <n v="176"/>
    <n v="76"/>
    <n v="1"/>
    <x v="1"/>
    <n v="21"/>
    <n v="21"/>
    <x v="1"/>
    <x v="1"/>
    <x v="24"/>
    <x v="0"/>
  </r>
  <r>
    <n v="177"/>
    <n v="76"/>
    <n v="1"/>
    <x v="1"/>
    <n v="20.75"/>
    <n v="20.75"/>
    <x v="1"/>
    <x v="2"/>
    <x v="12"/>
    <x v="0"/>
  </r>
  <r>
    <n v="178"/>
    <n v="77"/>
    <n v="1"/>
    <x v="1"/>
    <n v="16.75"/>
    <n v="16.75"/>
    <x v="0"/>
    <x v="3"/>
    <x v="7"/>
    <x v="0"/>
  </r>
  <r>
    <n v="179"/>
    <n v="77"/>
    <n v="1"/>
    <x v="1"/>
    <n v="13.25"/>
    <n v="13.25"/>
    <x v="0"/>
    <x v="0"/>
    <x v="0"/>
    <x v="0"/>
  </r>
  <r>
    <n v="180"/>
    <n v="78"/>
    <n v="1"/>
    <x v="1"/>
    <n v="12"/>
    <n v="12"/>
    <x v="2"/>
    <x v="0"/>
    <x v="19"/>
    <x v="0"/>
  </r>
  <r>
    <n v="181"/>
    <n v="78"/>
    <n v="1"/>
    <x v="1"/>
    <n v="12"/>
    <n v="12"/>
    <x v="2"/>
    <x v="0"/>
    <x v="1"/>
    <x v="0"/>
  </r>
  <r>
    <n v="182"/>
    <n v="78"/>
    <n v="1"/>
    <x v="1"/>
    <n v="17.95"/>
    <n v="17.95"/>
    <x v="1"/>
    <x v="1"/>
    <x v="21"/>
    <x v="0"/>
  </r>
  <r>
    <n v="183"/>
    <n v="78"/>
    <n v="1"/>
    <x v="1"/>
    <n v="16"/>
    <n v="16"/>
    <x v="0"/>
    <x v="0"/>
    <x v="11"/>
    <x v="0"/>
  </r>
  <r>
    <n v="184"/>
    <n v="78"/>
    <n v="3"/>
    <x v="1"/>
    <n v="20.75"/>
    <n v="62.25"/>
    <x v="1"/>
    <x v="2"/>
    <x v="12"/>
    <x v="0"/>
  </r>
  <r>
    <n v="185"/>
    <n v="78"/>
    <n v="1"/>
    <x v="1"/>
    <n v="12.75"/>
    <n v="12.75"/>
    <x v="2"/>
    <x v="3"/>
    <x v="5"/>
    <x v="0"/>
  </r>
  <r>
    <n v="186"/>
    <n v="79"/>
    <n v="1"/>
    <x v="1"/>
    <n v="20.5"/>
    <n v="20.5"/>
    <x v="1"/>
    <x v="0"/>
    <x v="11"/>
    <x v="0"/>
  </r>
  <r>
    <n v="187"/>
    <n v="79"/>
    <n v="1"/>
    <x v="1"/>
    <n v="11"/>
    <n v="11"/>
    <x v="2"/>
    <x v="0"/>
    <x v="30"/>
    <x v="0"/>
  </r>
  <r>
    <n v="188"/>
    <n v="79"/>
    <n v="1"/>
    <x v="1"/>
    <n v="20.75"/>
    <n v="20.75"/>
    <x v="1"/>
    <x v="3"/>
    <x v="5"/>
    <x v="0"/>
  </r>
  <r>
    <n v="189"/>
    <n v="80"/>
    <n v="1"/>
    <x v="1"/>
    <n v="9.75"/>
    <n v="9.75"/>
    <x v="2"/>
    <x v="0"/>
    <x v="17"/>
    <x v="0"/>
  </r>
  <r>
    <n v="190"/>
    <n v="80"/>
    <n v="1"/>
    <x v="1"/>
    <n v="16.75"/>
    <n v="16.75"/>
    <x v="0"/>
    <x v="3"/>
    <x v="5"/>
    <x v="0"/>
  </r>
  <r>
    <n v="191"/>
    <n v="81"/>
    <n v="1"/>
    <x v="1"/>
    <n v="20.75"/>
    <n v="20.75"/>
    <x v="1"/>
    <x v="3"/>
    <x v="5"/>
    <x v="0"/>
  </r>
  <r>
    <n v="192"/>
    <n v="82"/>
    <n v="1"/>
    <x v="1"/>
    <n v="12"/>
    <n v="12"/>
    <x v="2"/>
    <x v="0"/>
    <x v="19"/>
    <x v="0"/>
  </r>
  <r>
    <n v="193"/>
    <n v="82"/>
    <n v="1"/>
    <x v="1"/>
    <n v="16.75"/>
    <n v="16.75"/>
    <x v="0"/>
    <x v="3"/>
    <x v="16"/>
    <x v="0"/>
  </r>
  <r>
    <n v="194"/>
    <n v="82"/>
    <n v="1"/>
    <x v="1"/>
    <n v="20.75"/>
    <n v="20.75"/>
    <x v="1"/>
    <x v="2"/>
    <x v="12"/>
    <x v="0"/>
  </r>
  <r>
    <n v="195"/>
    <n v="82"/>
    <n v="1"/>
    <x v="1"/>
    <n v="16"/>
    <n v="16"/>
    <x v="0"/>
    <x v="1"/>
    <x v="14"/>
    <x v="0"/>
  </r>
  <r>
    <n v="196"/>
    <n v="83"/>
    <n v="1"/>
    <x v="1"/>
    <n v="12.75"/>
    <n v="12.75"/>
    <x v="2"/>
    <x v="3"/>
    <x v="15"/>
    <x v="0"/>
  </r>
  <r>
    <n v="197"/>
    <n v="84"/>
    <n v="1"/>
    <x v="1"/>
    <n v="15.25"/>
    <n v="15.25"/>
    <x v="1"/>
    <x v="0"/>
    <x v="17"/>
    <x v="0"/>
  </r>
  <r>
    <n v="198"/>
    <n v="85"/>
    <n v="1"/>
    <x v="1"/>
    <n v="16"/>
    <n v="16"/>
    <x v="0"/>
    <x v="0"/>
    <x v="1"/>
    <x v="0"/>
  </r>
  <r>
    <n v="199"/>
    <n v="85"/>
    <n v="1"/>
    <x v="1"/>
    <n v="12"/>
    <n v="12"/>
    <x v="2"/>
    <x v="0"/>
    <x v="1"/>
    <x v="0"/>
  </r>
  <r>
    <n v="200"/>
    <n v="85"/>
    <n v="1"/>
    <x v="1"/>
    <n v="20.75"/>
    <n v="20.75"/>
    <x v="1"/>
    <x v="2"/>
    <x v="3"/>
    <x v="0"/>
  </r>
  <r>
    <n v="201"/>
    <n v="85"/>
    <n v="1"/>
    <x v="1"/>
    <n v="16"/>
    <n v="16"/>
    <x v="0"/>
    <x v="0"/>
    <x v="8"/>
    <x v="0"/>
  </r>
  <r>
    <n v="202"/>
    <n v="86"/>
    <n v="1"/>
    <x v="1"/>
    <n v="16.5"/>
    <n v="16.5"/>
    <x v="1"/>
    <x v="0"/>
    <x v="0"/>
    <x v="0"/>
  </r>
  <r>
    <n v="203"/>
    <n v="87"/>
    <n v="1"/>
    <x v="1"/>
    <n v="16"/>
    <n v="16"/>
    <x v="0"/>
    <x v="0"/>
    <x v="11"/>
    <x v="0"/>
  </r>
  <r>
    <n v="204"/>
    <n v="87"/>
    <n v="1"/>
    <x v="1"/>
    <n v="16"/>
    <n v="16"/>
    <x v="0"/>
    <x v="1"/>
    <x v="4"/>
    <x v="0"/>
  </r>
  <r>
    <n v="205"/>
    <n v="87"/>
    <n v="1"/>
    <x v="1"/>
    <n v="20.75"/>
    <n v="20.75"/>
    <x v="1"/>
    <x v="2"/>
    <x v="9"/>
    <x v="0"/>
  </r>
  <r>
    <n v="206"/>
    <n v="87"/>
    <n v="1"/>
    <x v="1"/>
    <n v="12.5"/>
    <n v="12.5"/>
    <x v="2"/>
    <x v="2"/>
    <x v="9"/>
    <x v="0"/>
  </r>
  <r>
    <n v="207"/>
    <n v="88"/>
    <n v="1"/>
    <x v="1"/>
    <n v="18.5"/>
    <n v="18.5"/>
    <x v="1"/>
    <x v="1"/>
    <x v="2"/>
    <x v="0"/>
  </r>
  <r>
    <n v="208"/>
    <n v="89"/>
    <n v="1"/>
    <x v="1"/>
    <n v="20.75"/>
    <n v="20.75"/>
    <x v="1"/>
    <x v="2"/>
    <x v="20"/>
    <x v="0"/>
  </r>
  <r>
    <n v="209"/>
    <n v="89"/>
    <n v="1"/>
    <x v="1"/>
    <n v="20.75"/>
    <n v="20.75"/>
    <x v="1"/>
    <x v="3"/>
    <x v="5"/>
    <x v="0"/>
  </r>
  <r>
    <n v="210"/>
    <n v="90"/>
    <n v="1"/>
    <x v="1"/>
    <n v="20.25"/>
    <n v="20.25"/>
    <x v="1"/>
    <x v="2"/>
    <x v="28"/>
    <x v="0"/>
  </r>
  <r>
    <n v="211"/>
    <n v="90"/>
    <n v="1"/>
    <x v="1"/>
    <n v="12.75"/>
    <n v="12.75"/>
    <x v="2"/>
    <x v="3"/>
    <x v="5"/>
    <x v="0"/>
  </r>
  <r>
    <n v="212"/>
    <n v="91"/>
    <n v="2"/>
    <x v="1"/>
    <n v="20.75"/>
    <n v="41.5"/>
    <x v="1"/>
    <x v="3"/>
    <x v="7"/>
    <x v="0"/>
  </r>
  <r>
    <n v="213"/>
    <n v="91"/>
    <n v="1"/>
    <x v="1"/>
    <n v="12.75"/>
    <n v="12.75"/>
    <x v="2"/>
    <x v="3"/>
    <x v="18"/>
    <x v="0"/>
  </r>
  <r>
    <n v="214"/>
    <n v="91"/>
    <n v="1"/>
    <x v="1"/>
    <n v="9.75"/>
    <n v="9.75"/>
    <x v="2"/>
    <x v="0"/>
    <x v="17"/>
    <x v="0"/>
  </r>
  <r>
    <n v="215"/>
    <n v="92"/>
    <n v="1"/>
    <x v="1"/>
    <n v="16.75"/>
    <n v="16.75"/>
    <x v="0"/>
    <x v="3"/>
    <x v="7"/>
    <x v="0"/>
  </r>
  <r>
    <n v="216"/>
    <n v="92"/>
    <n v="1"/>
    <x v="1"/>
    <n v="20.75"/>
    <n v="20.75"/>
    <x v="1"/>
    <x v="2"/>
    <x v="3"/>
    <x v="0"/>
  </r>
  <r>
    <n v="217"/>
    <n v="92"/>
    <n v="1"/>
    <x v="1"/>
    <n v="16.5"/>
    <n v="16.5"/>
    <x v="0"/>
    <x v="2"/>
    <x v="3"/>
    <x v="0"/>
  </r>
  <r>
    <n v="218"/>
    <n v="92"/>
    <n v="1"/>
    <x v="1"/>
    <n v="12.75"/>
    <n v="12.75"/>
    <x v="2"/>
    <x v="1"/>
    <x v="24"/>
    <x v="0"/>
  </r>
  <r>
    <n v="219"/>
    <n v="92"/>
    <n v="1"/>
    <x v="1"/>
    <n v="12.5"/>
    <n v="12.5"/>
    <x v="0"/>
    <x v="0"/>
    <x v="17"/>
    <x v="0"/>
  </r>
  <r>
    <n v="220"/>
    <n v="92"/>
    <n v="1"/>
    <x v="1"/>
    <n v="16.5"/>
    <n v="16.5"/>
    <x v="0"/>
    <x v="2"/>
    <x v="26"/>
    <x v="0"/>
  </r>
  <r>
    <n v="221"/>
    <n v="92"/>
    <n v="1"/>
    <x v="1"/>
    <n v="12"/>
    <n v="12"/>
    <x v="2"/>
    <x v="1"/>
    <x v="27"/>
    <x v="0"/>
  </r>
  <r>
    <n v="222"/>
    <n v="92"/>
    <n v="1"/>
    <x v="1"/>
    <n v="12.5"/>
    <n v="12.5"/>
    <x v="2"/>
    <x v="2"/>
    <x v="9"/>
    <x v="0"/>
  </r>
  <r>
    <n v="223"/>
    <n v="92"/>
    <n v="2"/>
    <x v="1"/>
    <n v="16"/>
    <n v="32"/>
    <x v="0"/>
    <x v="0"/>
    <x v="8"/>
    <x v="0"/>
  </r>
  <r>
    <n v="224"/>
    <n v="93"/>
    <n v="1"/>
    <x v="1"/>
    <n v="16.25"/>
    <n v="16.25"/>
    <x v="0"/>
    <x v="2"/>
    <x v="28"/>
    <x v="0"/>
  </r>
  <r>
    <n v="225"/>
    <n v="94"/>
    <n v="1"/>
    <x v="1"/>
    <n v="16"/>
    <n v="16"/>
    <x v="0"/>
    <x v="0"/>
    <x v="11"/>
    <x v="0"/>
  </r>
  <r>
    <n v="226"/>
    <n v="94"/>
    <n v="1"/>
    <x v="1"/>
    <n v="12.75"/>
    <n v="12.75"/>
    <x v="2"/>
    <x v="3"/>
    <x v="15"/>
    <x v="0"/>
  </r>
  <r>
    <n v="227"/>
    <n v="95"/>
    <n v="1"/>
    <x v="1"/>
    <n v="12"/>
    <n v="12"/>
    <x v="2"/>
    <x v="0"/>
    <x v="22"/>
    <x v="0"/>
  </r>
  <r>
    <n v="228"/>
    <n v="95"/>
    <n v="1"/>
    <x v="1"/>
    <n v="20.75"/>
    <n v="20.75"/>
    <x v="1"/>
    <x v="2"/>
    <x v="26"/>
    <x v="0"/>
  </r>
  <r>
    <n v="229"/>
    <n v="96"/>
    <n v="1"/>
    <x v="1"/>
    <n v="12"/>
    <n v="12"/>
    <x v="2"/>
    <x v="0"/>
    <x v="22"/>
    <x v="0"/>
  </r>
  <r>
    <n v="230"/>
    <n v="97"/>
    <n v="1"/>
    <x v="1"/>
    <n v="12"/>
    <n v="12"/>
    <x v="2"/>
    <x v="0"/>
    <x v="19"/>
    <x v="0"/>
  </r>
  <r>
    <n v="231"/>
    <n v="98"/>
    <n v="1"/>
    <x v="1"/>
    <n v="20.5"/>
    <n v="20.5"/>
    <x v="1"/>
    <x v="0"/>
    <x v="1"/>
    <x v="0"/>
  </r>
  <r>
    <n v="232"/>
    <n v="98"/>
    <n v="1"/>
    <x v="1"/>
    <n v="20.5"/>
    <n v="20.5"/>
    <x v="1"/>
    <x v="0"/>
    <x v="22"/>
    <x v="0"/>
  </r>
  <r>
    <n v="233"/>
    <n v="99"/>
    <n v="1"/>
    <x v="1"/>
    <n v="20.75"/>
    <n v="20.75"/>
    <x v="1"/>
    <x v="2"/>
    <x v="3"/>
    <x v="0"/>
  </r>
  <r>
    <n v="234"/>
    <n v="100"/>
    <n v="1"/>
    <x v="1"/>
    <n v="16.5"/>
    <n v="16.5"/>
    <x v="1"/>
    <x v="0"/>
    <x v="0"/>
    <x v="0"/>
  </r>
  <r>
    <n v="235"/>
    <n v="101"/>
    <n v="1"/>
    <x v="1"/>
    <n v="20.75"/>
    <n v="20.75"/>
    <x v="1"/>
    <x v="3"/>
    <x v="16"/>
    <x v="0"/>
  </r>
  <r>
    <n v="236"/>
    <n v="101"/>
    <n v="1"/>
    <x v="1"/>
    <n v="15.25"/>
    <n v="15.25"/>
    <x v="1"/>
    <x v="0"/>
    <x v="17"/>
    <x v="0"/>
  </r>
  <r>
    <n v="237"/>
    <n v="101"/>
    <n v="1"/>
    <x v="1"/>
    <n v="20.75"/>
    <n v="20.75"/>
    <x v="1"/>
    <x v="2"/>
    <x v="20"/>
    <x v="0"/>
  </r>
  <r>
    <n v="238"/>
    <n v="101"/>
    <n v="1"/>
    <x v="1"/>
    <n v="16.5"/>
    <n v="16.5"/>
    <x v="0"/>
    <x v="2"/>
    <x v="12"/>
    <x v="0"/>
  </r>
  <r>
    <n v="239"/>
    <n v="102"/>
    <n v="1"/>
    <x v="1"/>
    <n v="12.75"/>
    <n v="12.75"/>
    <x v="2"/>
    <x v="3"/>
    <x v="7"/>
    <x v="0"/>
  </r>
  <r>
    <n v="240"/>
    <n v="102"/>
    <n v="1"/>
    <x v="1"/>
    <n v="12.5"/>
    <n v="12.5"/>
    <x v="2"/>
    <x v="2"/>
    <x v="6"/>
    <x v="0"/>
  </r>
  <r>
    <n v="241"/>
    <n v="103"/>
    <n v="1"/>
    <x v="1"/>
    <n v="12.5"/>
    <n v="12.5"/>
    <x v="2"/>
    <x v="2"/>
    <x v="9"/>
    <x v="0"/>
  </r>
  <r>
    <n v="242"/>
    <n v="104"/>
    <n v="1"/>
    <x v="1"/>
    <n v="16.75"/>
    <n v="16.75"/>
    <x v="0"/>
    <x v="3"/>
    <x v="7"/>
    <x v="0"/>
  </r>
  <r>
    <n v="243"/>
    <n v="104"/>
    <n v="1"/>
    <x v="1"/>
    <n v="16.75"/>
    <n v="16.75"/>
    <x v="0"/>
    <x v="3"/>
    <x v="29"/>
    <x v="0"/>
  </r>
  <r>
    <n v="244"/>
    <n v="104"/>
    <n v="1"/>
    <x v="1"/>
    <n v="16.75"/>
    <n v="16.75"/>
    <x v="0"/>
    <x v="1"/>
    <x v="24"/>
    <x v="0"/>
  </r>
  <r>
    <n v="245"/>
    <n v="104"/>
    <n v="1"/>
    <x v="1"/>
    <n v="20.25"/>
    <n v="20.25"/>
    <x v="1"/>
    <x v="1"/>
    <x v="14"/>
    <x v="0"/>
  </r>
  <r>
    <n v="246"/>
    <n v="105"/>
    <n v="2"/>
    <x v="1"/>
    <n v="10.5"/>
    <n v="21"/>
    <x v="2"/>
    <x v="0"/>
    <x v="0"/>
    <x v="0"/>
  </r>
  <r>
    <n v="247"/>
    <n v="105"/>
    <n v="1"/>
    <x v="1"/>
    <n v="15.25"/>
    <n v="15.25"/>
    <x v="1"/>
    <x v="0"/>
    <x v="17"/>
    <x v="0"/>
  </r>
  <r>
    <n v="248"/>
    <n v="105"/>
    <n v="1"/>
    <x v="1"/>
    <n v="16.5"/>
    <n v="16.5"/>
    <x v="0"/>
    <x v="2"/>
    <x v="6"/>
    <x v="0"/>
  </r>
  <r>
    <n v="249"/>
    <n v="106"/>
    <n v="1"/>
    <x v="1"/>
    <n v="20.25"/>
    <n v="20.25"/>
    <x v="1"/>
    <x v="1"/>
    <x v="4"/>
    <x v="0"/>
  </r>
  <r>
    <n v="250"/>
    <n v="106"/>
    <n v="1"/>
    <x v="1"/>
    <n v="20.75"/>
    <n v="20.75"/>
    <x v="1"/>
    <x v="2"/>
    <x v="12"/>
    <x v="0"/>
  </r>
  <r>
    <n v="251"/>
    <n v="107"/>
    <n v="1"/>
    <x v="1"/>
    <n v="20.75"/>
    <n v="20.75"/>
    <x v="1"/>
    <x v="3"/>
    <x v="16"/>
    <x v="0"/>
  </r>
  <r>
    <n v="252"/>
    <n v="107"/>
    <n v="1"/>
    <x v="1"/>
    <n v="16.5"/>
    <n v="16.5"/>
    <x v="0"/>
    <x v="2"/>
    <x v="3"/>
    <x v="0"/>
  </r>
  <r>
    <n v="253"/>
    <n v="107"/>
    <n v="1"/>
    <x v="1"/>
    <n v="20.75"/>
    <n v="20.75"/>
    <x v="1"/>
    <x v="2"/>
    <x v="12"/>
    <x v="0"/>
  </r>
  <r>
    <n v="254"/>
    <n v="107"/>
    <n v="1"/>
    <x v="1"/>
    <n v="20.25"/>
    <n v="20.25"/>
    <x v="1"/>
    <x v="1"/>
    <x v="14"/>
    <x v="0"/>
  </r>
  <r>
    <n v="255"/>
    <n v="108"/>
    <n v="1"/>
    <x v="1"/>
    <n v="20.5"/>
    <n v="20.5"/>
    <x v="1"/>
    <x v="0"/>
    <x v="1"/>
    <x v="0"/>
  </r>
  <r>
    <n v="256"/>
    <n v="108"/>
    <n v="1"/>
    <x v="1"/>
    <n v="16.5"/>
    <n v="16.5"/>
    <x v="1"/>
    <x v="0"/>
    <x v="0"/>
    <x v="0"/>
  </r>
  <r>
    <n v="257"/>
    <n v="108"/>
    <n v="1"/>
    <x v="1"/>
    <n v="20.75"/>
    <n v="20.75"/>
    <x v="1"/>
    <x v="2"/>
    <x v="9"/>
    <x v="0"/>
  </r>
  <r>
    <n v="258"/>
    <n v="109"/>
    <n v="1"/>
    <x v="1"/>
    <n v="20.5"/>
    <n v="20.5"/>
    <x v="1"/>
    <x v="0"/>
    <x v="11"/>
    <x v="0"/>
  </r>
  <r>
    <n v="259"/>
    <n v="109"/>
    <n v="1"/>
    <x v="1"/>
    <n v="20.75"/>
    <n v="20.75"/>
    <x v="1"/>
    <x v="2"/>
    <x v="3"/>
    <x v="0"/>
  </r>
  <r>
    <n v="260"/>
    <n v="109"/>
    <n v="1"/>
    <x v="1"/>
    <n v="12.5"/>
    <n v="12.5"/>
    <x v="0"/>
    <x v="0"/>
    <x v="17"/>
    <x v="0"/>
  </r>
  <r>
    <n v="261"/>
    <n v="109"/>
    <n v="1"/>
    <x v="1"/>
    <n v="20.75"/>
    <n v="20.75"/>
    <x v="1"/>
    <x v="2"/>
    <x v="6"/>
    <x v="0"/>
  </r>
  <r>
    <n v="262"/>
    <n v="110"/>
    <n v="1"/>
    <x v="1"/>
    <n v="12"/>
    <n v="12"/>
    <x v="2"/>
    <x v="0"/>
    <x v="19"/>
    <x v="0"/>
  </r>
  <r>
    <n v="263"/>
    <n v="110"/>
    <n v="1"/>
    <x v="1"/>
    <n v="20.5"/>
    <n v="20.5"/>
    <x v="1"/>
    <x v="0"/>
    <x v="22"/>
    <x v="0"/>
  </r>
  <r>
    <n v="264"/>
    <n v="110"/>
    <n v="1"/>
    <x v="1"/>
    <n v="20.75"/>
    <n v="20.75"/>
    <x v="1"/>
    <x v="2"/>
    <x v="20"/>
    <x v="0"/>
  </r>
  <r>
    <n v="265"/>
    <n v="110"/>
    <n v="1"/>
    <x v="1"/>
    <n v="12.5"/>
    <n v="12.5"/>
    <x v="2"/>
    <x v="2"/>
    <x v="12"/>
    <x v="0"/>
  </r>
  <r>
    <n v="266"/>
    <n v="111"/>
    <n v="1"/>
    <x v="1"/>
    <n v="16.75"/>
    <n v="16.75"/>
    <x v="0"/>
    <x v="3"/>
    <x v="16"/>
    <x v="0"/>
  </r>
  <r>
    <n v="267"/>
    <n v="111"/>
    <n v="1"/>
    <x v="1"/>
    <n v="18.5"/>
    <n v="18.5"/>
    <x v="1"/>
    <x v="1"/>
    <x v="2"/>
    <x v="0"/>
  </r>
  <r>
    <n v="268"/>
    <n v="111"/>
    <n v="1"/>
    <x v="1"/>
    <n v="12.5"/>
    <n v="12.5"/>
    <x v="0"/>
    <x v="0"/>
    <x v="17"/>
    <x v="0"/>
  </r>
  <r>
    <n v="269"/>
    <n v="111"/>
    <n v="1"/>
    <x v="1"/>
    <n v="20.75"/>
    <n v="20.75"/>
    <x v="1"/>
    <x v="1"/>
    <x v="13"/>
    <x v="0"/>
  </r>
  <r>
    <n v="270"/>
    <n v="112"/>
    <n v="1"/>
    <x v="1"/>
    <n v="9.75"/>
    <n v="9.75"/>
    <x v="2"/>
    <x v="0"/>
    <x v="17"/>
    <x v="0"/>
  </r>
  <r>
    <n v="271"/>
    <n v="113"/>
    <n v="1"/>
    <x v="1"/>
    <n v="20.75"/>
    <n v="20.75"/>
    <x v="1"/>
    <x v="3"/>
    <x v="16"/>
    <x v="0"/>
  </r>
  <r>
    <n v="272"/>
    <n v="113"/>
    <n v="1"/>
    <x v="1"/>
    <n v="20.25"/>
    <n v="20.25"/>
    <x v="1"/>
    <x v="1"/>
    <x v="4"/>
    <x v="0"/>
  </r>
  <r>
    <n v="273"/>
    <n v="113"/>
    <n v="1"/>
    <x v="1"/>
    <n v="16.75"/>
    <n v="16.75"/>
    <x v="0"/>
    <x v="3"/>
    <x v="15"/>
    <x v="0"/>
  </r>
  <r>
    <n v="274"/>
    <n v="114"/>
    <n v="1"/>
    <x v="1"/>
    <n v="15.25"/>
    <n v="15.25"/>
    <x v="1"/>
    <x v="0"/>
    <x v="17"/>
    <x v="0"/>
  </r>
  <r>
    <n v="275"/>
    <n v="114"/>
    <n v="1"/>
    <x v="1"/>
    <n v="12.25"/>
    <n v="12.25"/>
    <x v="2"/>
    <x v="2"/>
    <x v="28"/>
    <x v="0"/>
  </r>
  <r>
    <n v="276"/>
    <n v="115"/>
    <n v="1"/>
    <x v="1"/>
    <n v="12"/>
    <n v="12"/>
    <x v="2"/>
    <x v="0"/>
    <x v="19"/>
    <x v="0"/>
  </r>
  <r>
    <n v="277"/>
    <n v="115"/>
    <n v="1"/>
    <x v="1"/>
    <n v="20.5"/>
    <n v="20.5"/>
    <x v="1"/>
    <x v="0"/>
    <x v="22"/>
    <x v="0"/>
  </r>
  <r>
    <n v="278"/>
    <n v="115"/>
    <n v="1"/>
    <x v="1"/>
    <n v="16.75"/>
    <n v="16.75"/>
    <x v="0"/>
    <x v="3"/>
    <x v="5"/>
    <x v="0"/>
  </r>
  <r>
    <n v="279"/>
    <n v="116"/>
    <n v="1"/>
    <x v="1"/>
    <n v="18.5"/>
    <n v="18.5"/>
    <x v="1"/>
    <x v="1"/>
    <x v="2"/>
    <x v="0"/>
  </r>
  <r>
    <n v="280"/>
    <n v="117"/>
    <n v="1"/>
    <x v="1"/>
    <n v="16.5"/>
    <n v="16.5"/>
    <x v="0"/>
    <x v="2"/>
    <x v="26"/>
    <x v="0"/>
  </r>
  <r>
    <n v="281"/>
    <n v="117"/>
    <n v="1"/>
    <x v="1"/>
    <n v="20.25"/>
    <n v="20.25"/>
    <x v="1"/>
    <x v="2"/>
    <x v="28"/>
    <x v="0"/>
  </r>
  <r>
    <n v="282"/>
    <n v="118"/>
    <n v="1"/>
    <x v="1"/>
    <n v="20.75"/>
    <n v="20.75"/>
    <x v="1"/>
    <x v="2"/>
    <x v="6"/>
    <x v="0"/>
  </r>
  <r>
    <n v="283"/>
    <n v="118"/>
    <n v="1"/>
    <x v="1"/>
    <n v="12"/>
    <n v="12"/>
    <x v="2"/>
    <x v="1"/>
    <x v="27"/>
    <x v="0"/>
  </r>
  <r>
    <n v="284"/>
    <n v="119"/>
    <n v="1"/>
    <x v="1"/>
    <n v="14.75"/>
    <n v="14.75"/>
    <x v="0"/>
    <x v="1"/>
    <x v="21"/>
    <x v="0"/>
  </r>
  <r>
    <n v="285"/>
    <n v="120"/>
    <n v="1"/>
    <x v="1"/>
    <n v="12"/>
    <n v="12"/>
    <x v="2"/>
    <x v="0"/>
    <x v="1"/>
    <x v="0"/>
  </r>
  <r>
    <n v="286"/>
    <n v="120"/>
    <n v="1"/>
    <x v="1"/>
    <n v="10.5"/>
    <n v="10.5"/>
    <x v="2"/>
    <x v="0"/>
    <x v="0"/>
    <x v="0"/>
  </r>
  <r>
    <n v="287"/>
    <n v="120"/>
    <n v="1"/>
    <x v="1"/>
    <n v="20.25"/>
    <n v="20.25"/>
    <x v="1"/>
    <x v="1"/>
    <x v="27"/>
    <x v="0"/>
  </r>
  <r>
    <n v="288"/>
    <n v="121"/>
    <n v="1"/>
    <x v="1"/>
    <n v="16.75"/>
    <n v="16.75"/>
    <x v="0"/>
    <x v="3"/>
    <x v="7"/>
    <x v="0"/>
  </r>
  <r>
    <n v="289"/>
    <n v="121"/>
    <n v="1"/>
    <x v="1"/>
    <n v="17.95"/>
    <n v="17.95"/>
    <x v="1"/>
    <x v="1"/>
    <x v="21"/>
    <x v="0"/>
  </r>
  <r>
    <n v="290"/>
    <n v="121"/>
    <n v="1"/>
    <x v="1"/>
    <n v="20.25"/>
    <n v="20.25"/>
    <x v="1"/>
    <x v="2"/>
    <x v="28"/>
    <x v="0"/>
  </r>
  <r>
    <n v="291"/>
    <n v="121"/>
    <n v="1"/>
    <x v="1"/>
    <n v="20.75"/>
    <n v="20.75"/>
    <x v="1"/>
    <x v="3"/>
    <x v="15"/>
    <x v="0"/>
  </r>
  <r>
    <n v="292"/>
    <n v="122"/>
    <n v="1"/>
    <x v="1"/>
    <n v="16.5"/>
    <n v="16.5"/>
    <x v="0"/>
    <x v="2"/>
    <x v="3"/>
    <x v="0"/>
  </r>
  <r>
    <n v="293"/>
    <n v="123"/>
    <n v="1"/>
    <x v="1"/>
    <n v="12"/>
    <n v="12"/>
    <x v="2"/>
    <x v="0"/>
    <x v="11"/>
    <x v="0"/>
  </r>
  <r>
    <n v="294"/>
    <n v="124"/>
    <n v="1"/>
    <x v="1"/>
    <n v="12.75"/>
    <n v="12.75"/>
    <x v="2"/>
    <x v="3"/>
    <x v="7"/>
    <x v="0"/>
  </r>
  <r>
    <n v="295"/>
    <n v="124"/>
    <n v="1"/>
    <x v="1"/>
    <n v="20.25"/>
    <n v="20.25"/>
    <x v="1"/>
    <x v="2"/>
    <x v="28"/>
    <x v="0"/>
  </r>
  <r>
    <n v="296"/>
    <n v="124"/>
    <n v="1"/>
    <x v="1"/>
    <n v="20.75"/>
    <n v="20.75"/>
    <x v="1"/>
    <x v="2"/>
    <x v="12"/>
    <x v="0"/>
  </r>
  <r>
    <n v="297"/>
    <n v="124"/>
    <n v="1"/>
    <x v="1"/>
    <n v="12"/>
    <n v="12"/>
    <x v="2"/>
    <x v="0"/>
    <x v="8"/>
    <x v="0"/>
  </r>
  <r>
    <n v="298"/>
    <n v="125"/>
    <n v="1"/>
    <x v="1"/>
    <n v="25.5"/>
    <n v="25.5"/>
    <x v="3"/>
    <x v="0"/>
    <x v="8"/>
    <x v="0"/>
  </r>
  <r>
    <n v="299"/>
    <n v="126"/>
    <n v="1"/>
    <x v="1"/>
    <n v="20.25"/>
    <n v="20.25"/>
    <x v="1"/>
    <x v="1"/>
    <x v="14"/>
    <x v="0"/>
  </r>
  <r>
    <n v="300"/>
    <n v="127"/>
    <n v="1"/>
    <x v="1"/>
    <n v="12.5"/>
    <n v="12.5"/>
    <x v="0"/>
    <x v="0"/>
    <x v="17"/>
    <x v="0"/>
  </r>
  <r>
    <n v="301"/>
    <n v="128"/>
    <n v="1"/>
    <x v="1"/>
    <n v="12.5"/>
    <n v="12.5"/>
    <x v="2"/>
    <x v="2"/>
    <x v="12"/>
    <x v="0"/>
  </r>
  <r>
    <n v="302"/>
    <n v="129"/>
    <n v="1"/>
    <x v="1"/>
    <n v="12"/>
    <n v="12"/>
    <x v="2"/>
    <x v="0"/>
    <x v="19"/>
    <x v="0"/>
  </r>
  <r>
    <n v="303"/>
    <n v="129"/>
    <n v="1"/>
    <x v="1"/>
    <n v="16"/>
    <n v="16"/>
    <x v="0"/>
    <x v="0"/>
    <x v="8"/>
    <x v="0"/>
  </r>
  <r>
    <n v="304"/>
    <n v="130"/>
    <n v="1"/>
    <x v="1"/>
    <n v="10.5"/>
    <n v="10.5"/>
    <x v="2"/>
    <x v="0"/>
    <x v="0"/>
    <x v="0"/>
  </r>
  <r>
    <n v="305"/>
    <n v="130"/>
    <n v="1"/>
    <x v="1"/>
    <n v="20.5"/>
    <n v="20.5"/>
    <x v="1"/>
    <x v="0"/>
    <x v="11"/>
    <x v="0"/>
  </r>
  <r>
    <n v="306"/>
    <n v="130"/>
    <n v="1"/>
    <x v="1"/>
    <n v="16"/>
    <n v="16"/>
    <x v="0"/>
    <x v="1"/>
    <x v="4"/>
    <x v="0"/>
  </r>
  <r>
    <n v="307"/>
    <n v="130"/>
    <n v="1"/>
    <x v="1"/>
    <n v="12.75"/>
    <n v="12.75"/>
    <x v="2"/>
    <x v="3"/>
    <x v="15"/>
    <x v="0"/>
  </r>
  <r>
    <n v="308"/>
    <n v="131"/>
    <n v="1"/>
    <x v="1"/>
    <n v="20.75"/>
    <n v="20.75"/>
    <x v="1"/>
    <x v="3"/>
    <x v="18"/>
    <x v="0"/>
  </r>
  <r>
    <n v="309"/>
    <n v="131"/>
    <n v="1"/>
    <x v="1"/>
    <n v="18.5"/>
    <n v="18.5"/>
    <x v="1"/>
    <x v="1"/>
    <x v="2"/>
    <x v="0"/>
  </r>
  <r>
    <n v="310"/>
    <n v="131"/>
    <n v="1"/>
    <x v="1"/>
    <n v="12"/>
    <n v="12"/>
    <x v="2"/>
    <x v="1"/>
    <x v="10"/>
    <x v="0"/>
  </r>
  <r>
    <n v="311"/>
    <n v="131"/>
    <n v="1"/>
    <x v="1"/>
    <n v="12.5"/>
    <n v="12.5"/>
    <x v="2"/>
    <x v="2"/>
    <x v="9"/>
    <x v="0"/>
  </r>
  <r>
    <n v="312"/>
    <n v="132"/>
    <n v="1"/>
    <x v="1"/>
    <n v="9.75"/>
    <n v="9.75"/>
    <x v="2"/>
    <x v="0"/>
    <x v="17"/>
    <x v="0"/>
  </r>
  <r>
    <n v="313"/>
    <n v="133"/>
    <n v="1"/>
    <x v="1"/>
    <n v="20.75"/>
    <n v="20.75"/>
    <x v="1"/>
    <x v="3"/>
    <x v="7"/>
    <x v="0"/>
  </r>
  <r>
    <n v="314"/>
    <n v="133"/>
    <n v="1"/>
    <x v="1"/>
    <n v="16.5"/>
    <n v="16.5"/>
    <x v="1"/>
    <x v="0"/>
    <x v="0"/>
    <x v="0"/>
  </r>
  <r>
    <n v="315"/>
    <n v="133"/>
    <n v="1"/>
    <x v="1"/>
    <n v="12"/>
    <n v="12"/>
    <x v="2"/>
    <x v="0"/>
    <x v="8"/>
    <x v="0"/>
  </r>
  <r>
    <n v="316"/>
    <n v="134"/>
    <n v="1"/>
    <x v="1"/>
    <n v="12"/>
    <n v="12"/>
    <x v="2"/>
    <x v="0"/>
    <x v="19"/>
    <x v="0"/>
  </r>
  <r>
    <n v="317"/>
    <n v="134"/>
    <n v="1"/>
    <x v="1"/>
    <n v="20.75"/>
    <n v="20.75"/>
    <x v="1"/>
    <x v="3"/>
    <x v="15"/>
    <x v="0"/>
  </r>
  <r>
    <n v="318"/>
    <n v="134"/>
    <n v="1"/>
    <x v="1"/>
    <n v="12.5"/>
    <n v="12.5"/>
    <x v="2"/>
    <x v="2"/>
    <x v="9"/>
    <x v="0"/>
  </r>
  <r>
    <n v="319"/>
    <n v="135"/>
    <n v="1"/>
    <x v="1"/>
    <n v="20.25"/>
    <n v="20.25"/>
    <x v="1"/>
    <x v="1"/>
    <x v="14"/>
    <x v="0"/>
  </r>
  <r>
    <n v="320"/>
    <n v="136"/>
    <n v="1"/>
    <x v="1"/>
    <n v="18.5"/>
    <n v="18.5"/>
    <x v="1"/>
    <x v="1"/>
    <x v="2"/>
    <x v="0"/>
  </r>
  <r>
    <n v="321"/>
    <n v="136"/>
    <n v="1"/>
    <x v="1"/>
    <n v="12.5"/>
    <n v="12.5"/>
    <x v="2"/>
    <x v="2"/>
    <x v="26"/>
    <x v="0"/>
  </r>
  <r>
    <n v="322"/>
    <n v="137"/>
    <n v="1"/>
    <x v="2"/>
    <n v="20.25"/>
    <n v="20.25"/>
    <x v="1"/>
    <x v="1"/>
    <x v="25"/>
    <x v="0"/>
  </r>
  <r>
    <n v="323"/>
    <n v="137"/>
    <n v="1"/>
    <x v="2"/>
    <n v="9.75"/>
    <n v="9.75"/>
    <x v="2"/>
    <x v="0"/>
    <x v="17"/>
    <x v="0"/>
  </r>
  <r>
    <n v="324"/>
    <n v="137"/>
    <n v="1"/>
    <x v="2"/>
    <n v="16.5"/>
    <n v="16.5"/>
    <x v="0"/>
    <x v="2"/>
    <x v="12"/>
    <x v="0"/>
  </r>
  <r>
    <n v="325"/>
    <n v="138"/>
    <n v="1"/>
    <x v="2"/>
    <n v="16.75"/>
    <n v="16.75"/>
    <x v="0"/>
    <x v="3"/>
    <x v="16"/>
    <x v="0"/>
  </r>
  <r>
    <n v="326"/>
    <n v="138"/>
    <n v="1"/>
    <x v="2"/>
    <n v="17.95"/>
    <n v="17.95"/>
    <x v="1"/>
    <x v="1"/>
    <x v="21"/>
    <x v="0"/>
  </r>
  <r>
    <n v="327"/>
    <n v="138"/>
    <n v="1"/>
    <x v="2"/>
    <n v="21"/>
    <n v="21"/>
    <x v="1"/>
    <x v="1"/>
    <x v="24"/>
    <x v="0"/>
  </r>
  <r>
    <n v="328"/>
    <n v="138"/>
    <n v="1"/>
    <x v="2"/>
    <n v="16.25"/>
    <n v="16.25"/>
    <x v="0"/>
    <x v="2"/>
    <x v="28"/>
    <x v="0"/>
  </r>
  <r>
    <n v="329"/>
    <n v="139"/>
    <n v="1"/>
    <x v="2"/>
    <n v="18.5"/>
    <n v="18.5"/>
    <x v="1"/>
    <x v="1"/>
    <x v="2"/>
    <x v="0"/>
  </r>
  <r>
    <n v="330"/>
    <n v="140"/>
    <n v="1"/>
    <x v="2"/>
    <n v="12.5"/>
    <n v="12.5"/>
    <x v="2"/>
    <x v="2"/>
    <x v="6"/>
    <x v="0"/>
  </r>
  <r>
    <n v="331"/>
    <n v="140"/>
    <n v="1"/>
    <x v="2"/>
    <n v="16"/>
    <n v="16"/>
    <x v="0"/>
    <x v="1"/>
    <x v="14"/>
    <x v="0"/>
  </r>
  <r>
    <n v="332"/>
    <n v="141"/>
    <n v="1"/>
    <x v="2"/>
    <n v="16"/>
    <n v="16"/>
    <x v="0"/>
    <x v="0"/>
    <x v="1"/>
    <x v="0"/>
  </r>
  <r>
    <n v="333"/>
    <n v="142"/>
    <n v="1"/>
    <x v="2"/>
    <n v="16"/>
    <n v="16"/>
    <x v="0"/>
    <x v="1"/>
    <x v="10"/>
    <x v="0"/>
  </r>
  <r>
    <n v="334"/>
    <n v="143"/>
    <n v="1"/>
    <x v="2"/>
    <n v="12.75"/>
    <n v="12.75"/>
    <x v="2"/>
    <x v="3"/>
    <x v="16"/>
    <x v="0"/>
  </r>
  <r>
    <n v="335"/>
    <n v="143"/>
    <n v="1"/>
    <x v="2"/>
    <n v="12"/>
    <n v="12"/>
    <x v="2"/>
    <x v="0"/>
    <x v="1"/>
    <x v="0"/>
  </r>
  <r>
    <n v="336"/>
    <n v="143"/>
    <n v="1"/>
    <x v="2"/>
    <n v="16.5"/>
    <n v="16.5"/>
    <x v="1"/>
    <x v="0"/>
    <x v="0"/>
    <x v="0"/>
  </r>
  <r>
    <n v="337"/>
    <n v="143"/>
    <n v="1"/>
    <x v="2"/>
    <n v="16"/>
    <n v="16"/>
    <x v="0"/>
    <x v="1"/>
    <x v="4"/>
    <x v="0"/>
  </r>
  <r>
    <n v="338"/>
    <n v="143"/>
    <n v="1"/>
    <x v="2"/>
    <n v="15.25"/>
    <n v="15.25"/>
    <x v="1"/>
    <x v="0"/>
    <x v="17"/>
    <x v="0"/>
  </r>
  <r>
    <n v="339"/>
    <n v="143"/>
    <n v="1"/>
    <x v="2"/>
    <n v="12.5"/>
    <n v="12.5"/>
    <x v="2"/>
    <x v="2"/>
    <x v="6"/>
    <x v="0"/>
  </r>
  <r>
    <n v="340"/>
    <n v="143"/>
    <n v="1"/>
    <x v="2"/>
    <n v="20.75"/>
    <n v="20.75"/>
    <x v="1"/>
    <x v="3"/>
    <x v="5"/>
    <x v="0"/>
  </r>
  <r>
    <n v="341"/>
    <n v="143"/>
    <n v="1"/>
    <x v="2"/>
    <n v="16"/>
    <n v="16"/>
    <x v="0"/>
    <x v="1"/>
    <x v="14"/>
    <x v="0"/>
  </r>
  <r>
    <n v="342"/>
    <n v="144"/>
    <n v="3"/>
    <x v="2"/>
    <n v="16.75"/>
    <n v="50.25"/>
    <x v="0"/>
    <x v="3"/>
    <x v="7"/>
    <x v="0"/>
  </r>
  <r>
    <n v="343"/>
    <n v="144"/>
    <n v="1"/>
    <x v="2"/>
    <n v="12"/>
    <n v="12"/>
    <x v="2"/>
    <x v="0"/>
    <x v="19"/>
    <x v="0"/>
  </r>
  <r>
    <n v="344"/>
    <n v="144"/>
    <n v="1"/>
    <x v="2"/>
    <n v="20.75"/>
    <n v="20.75"/>
    <x v="1"/>
    <x v="3"/>
    <x v="16"/>
    <x v="0"/>
  </r>
  <r>
    <n v="345"/>
    <n v="144"/>
    <n v="1"/>
    <x v="2"/>
    <n v="16.75"/>
    <n v="16.75"/>
    <x v="0"/>
    <x v="3"/>
    <x v="18"/>
    <x v="0"/>
  </r>
  <r>
    <n v="346"/>
    <n v="144"/>
    <n v="1"/>
    <x v="2"/>
    <n v="18.5"/>
    <n v="18.5"/>
    <x v="1"/>
    <x v="1"/>
    <x v="2"/>
    <x v="0"/>
  </r>
  <r>
    <n v="347"/>
    <n v="144"/>
    <n v="1"/>
    <x v="2"/>
    <n v="17.95"/>
    <n v="17.95"/>
    <x v="1"/>
    <x v="1"/>
    <x v="21"/>
    <x v="0"/>
  </r>
  <r>
    <n v="348"/>
    <n v="144"/>
    <n v="1"/>
    <x v="2"/>
    <n v="11"/>
    <n v="11"/>
    <x v="2"/>
    <x v="0"/>
    <x v="30"/>
    <x v="0"/>
  </r>
  <r>
    <n v="349"/>
    <n v="144"/>
    <n v="1"/>
    <x v="2"/>
    <n v="20.75"/>
    <n v="20.75"/>
    <x v="1"/>
    <x v="3"/>
    <x v="15"/>
    <x v="0"/>
  </r>
  <r>
    <n v="350"/>
    <n v="144"/>
    <n v="1"/>
    <x v="2"/>
    <n v="12.75"/>
    <n v="12.75"/>
    <x v="2"/>
    <x v="3"/>
    <x v="15"/>
    <x v="0"/>
  </r>
  <r>
    <n v="351"/>
    <n v="144"/>
    <n v="1"/>
    <x v="2"/>
    <n v="20.75"/>
    <n v="20.75"/>
    <x v="1"/>
    <x v="2"/>
    <x v="12"/>
    <x v="0"/>
  </r>
  <r>
    <n v="352"/>
    <n v="144"/>
    <n v="1"/>
    <x v="2"/>
    <n v="16.75"/>
    <n v="16.75"/>
    <x v="0"/>
    <x v="3"/>
    <x v="5"/>
    <x v="0"/>
  </r>
  <r>
    <n v="353"/>
    <n v="144"/>
    <n v="1"/>
    <x v="2"/>
    <n v="20.25"/>
    <n v="20.25"/>
    <x v="1"/>
    <x v="1"/>
    <x v="14"/>
    <x v="0"/>
  </r>
  <r>
    <n v="354"/>
    <n v="145"/>
    <n v="1"/>
    <x v="2"/>
    <n v="12"/>
    <n v="12"/>
    <x v="2"/>
    <x v="0"/>
    <x v="8"/>
    <x v="0"/>
  </r>
  <r>
    <n v="355"/>
    <n v="146"/>
    <n v="1"/>
    <x v="2"/>
    <n v="20.75"/>
    <n v="20.75"/>
    <x v="1"/>
    <x v="3"/>
    <x v="16"/>
    <x v="0"/>
  </r>
  <r>
    <n v="356"/>
    <n v="146"/>
    <n v="1"/>
    <x v="2"/>
    <n v="14.75"/>
    <n v="14.75"/>
    <x v="0"/>
    <x v="1"/>
    <x v="21"/>
    <x v="0"/>
  </r>
  <r>
    <n v="357"/>
    <n v="146"/>
    <n v="1"/>
    <x v="2"/>
    <n v="13.25"/>
    <n v="13.25"/>
    <x v="0"/>
    <x v="0"/>
    <x v="0"/>
    <x v="0"/>
  </r>
  <r>
    <n v="358"/>
    <n v="147"/>
    <n v="1"/>
    <x v="2"/>
    <n v="25.5"/>
    <n v="25.5"/>
    <x v="3"/>
    <x v="0"/>
    <x v="8"/>
    <x v="0"/>
  </r>
  <r>
    <n v="359"/>
    <n v="148"/>
    <n v="1"/>
    <x v="2"/>
    <n v="12"/>
    <n v="12"/>
    <x v="2"/>
    <x v="1"/>
    <x v="25"/>
    <x v="0"/>
  </r>
  <r>
    <n v="360"/>
    <n v="149"/>
    <n v="1"/>
    <x v="2"/>
    <n v="16"/>
    <n v="16"/>
    <x v="0"/>
    <x v="1"/>
    <x v="27"/>
    <x v="0"/>
  </r>
  <r>
    <n v="361"/>
    <n v="150"/>
    <n v="1"/>
    <x v="2"/>
    <n v="12.5"/>
    <n v="12.5"/>
    <x v="0"/>
    <x v="0"/>
    <x v="17"/>
    <x v="0"/>
  </r>
  <r>
    <n v="362"/>
    <n v="151"/>
    <n v="1"/>
    <x v="2"/>
    <n v="20.75"/>
    <n v="20.75"/>
    <x v="1"/>
    <x v="3"/>
    <x v="15"/>
    <x v="0"/>
  </r>
  <r>
    <n v="363"/>
    <n v="151"/>
    <n v="1"/>
    <x v="2"/>
    <n v="12.5"/>
    <n v="12.5"/>
    <x v="2"/>
    <x v="2"/>
    <x v="9"/>
    <x v="0"/>
  </r>
  <r>
    <n v="364"/>
    <n v="152"/>
    <n v="1"/>
    <x v="2"/>
    <n v="10.5"/>
    <n v="10.5"/>
    <x v="2"/>
    <x v="0"/>
    <x v="0"/>
    <x v="0"/>
  </r>
  <r>
    <n v="365"/>
    <n v="152"/>
    <n v="1"/>
    <x v="2"/>
    <n v="20.25"/>
    <n v="20.25"/>
    <x v="1"/>
    <x v="1"/>
    <x v="27"/>
    <x v="0"/>
  </r>
  <r>
    <n v="366"/>
    <n v="152"/>
    <n v="1"/>
    <x v="2"/>
    <n v="12.75"/>
    <n v="12.75"/>
    <x v="2"/>
    <x v="3"/>
    <x v="5"/>
    <x v="0"/>
  </r>
  <r>
    <n v="367"/>
    <n v="152"/>
    <n v="1"/>
    <x v="2"/>
    <n v="16"/>
    <n v="16"/>
    <x v="0"/>
    <x v="0"/>
    <x v="8"/>
    <x v="0"/>
  </r>
  <r>
    <n v="368"/>
    <n v="153"/>
    <n v="1"/>
    <x v="2"/>
    <n v="16"/>
    <n v="16"/>
    <x v="0"/>
    <x v="1"/>
    <x v="4"/>
    <x v="0"/>
  </r>
  <r>
    <n v="369"/>
    <n v="154"/>
    <n v="1"/>
    <x v="2"/>
    <n v="12.5"/>
    <n v="12.5"/>
    <x v="2"/>
    <x v="2"/>
    <x v="6"/>
    <x v="0"/>
  </r>
  <r>
    <n v="370"/>
    <n v="155"/>
    <n v="1"/>
    <x v="2"/>
    <n v="12.75"/>
    <n v="12.75"/>
    <x v="2"/>
    <x v="3"/>
    <x v="18"/>
    <x v="0"/>
  </r>
  <r>
    <n v="371"/>
    <n v="155"/>
    <n v="1"/>
    <x v="2"/>
    <n v="20.5"/>
    <n v="20.5"/>
    <x v="1"/>
    <x v="0"/>
    <x v="22"/>
    <x v="0"/>
  </r>
  <r>
    <n v="372"/>
    <n v="155"/>
    <n v="1"/>
    <x v="2"/>
    <n v="15.25"/>
    <n v="15.25"/>
    <x v="1"/>
    <x v="0"/>
    <x v="17"/>
    <x v="0"/>
  </r>
  <r>
    <n v="373"/>
    <n v="155"/>
    <n v="1"/>
    <x v="2"/>
    <n v="20.75"/>
    <n v="20.75"/>
    <x v="1"/>
    <x v="2"/>
    <x v="26"/>
    <x v="0"/>
  </r>
  <r>
    <n v="374"/>
    <n v="156"/>
    <n v="1"/>
    <x v="2"/>
    <n v="16"/>
    <n v="16"/>
    <x v="0"/>
    <x v="0"/>
    <x v="22"/>
    <x v="0"/>
  </r>
  <r>
    <n v="375"/>
    <n v="156"/>
    <n v="1"/>
    <x v="2"/>
    <n v="20.75"/>
    <n v="20.75"/>
    <x v="1"/>
    <x v="3"/>
    <x v="5"/>
    <x v="0"/>
  </r>
  <r>
    <n v="376"/>
    <n v="157"/>
    <n v="1"/>
    <x v="2"/>
    <n v="20.75"/>
    <n v="20.75"/>
    <x v="1"/>
    <x v="2"/>
    <x v="3"/>
    <x v="0"/>
  </r>
  <r>
    <n v="377"/>
    <n v="157"/>
    <n v="1"/>
    <x v="2"/>
    <n v="16"/>
    <n v="16"/>
    <x v="0"/>
    <x v="1"/>
    <x v="25"/>
    <x v="0"/>
  </r>
  <r>
    <n v="378"/>
    <n v="157"/>
    <n v="1"/>
    <x v="2"/>
    <n v="16.25"/>
    <n v="16.25"/>
    <x v="0"/>
    <x v="2"/>
    <x v="28"/>
    <x v="0"/>
  </r>
  <r>
    <n v="379"/>
    <n v="157"/>
    <n v="1"/>
    <x v="2"/>
    <n v="16.5"/>
    <n v="16.5"/>
    <x v="0"/>
    <x v="1"/>
    <x v="13"/>
    <x v="0"/>
  </r>
  <r>
    <n v="380"/>
    <n v="158"/>
    <n v="1"/>
    <x v="2"/>
    <n v="16.75"/>
    <n v="16.75"/>
    <x v="0"/>
    <x v="1"/>
    <x v="24"/>
    <x v="0"/>
  </r>
  <r>
    <n v="381"/>
    <n v="158"/>
    <n v="1"/>
    <x v="2"/>
    <n v="16.75"/>
    <n v="16.75"/>
    <x v="0"/>
    <x v="3"/>
    <x v="5"/>
    <x v="0"/>
  </r>
  <r>
    <n v="382"/>
    <n v="159"/>
    <n v="1"/>
    <x v="2"/>
    <n v="17.95"/>
    <n v="17.95"/>
    <x v="1"/>
    <x v="1"/>
    <x v="21"/>
    <x v="0"/>
  </r>
  <r>
    <n v="383"/>
    <n v="159"/>
    <n v="1"/>
    <x v="2"/>
    <n v="16.75"/>
    <n v="16.75"/>
    <x v="0"/>
    <x v="3"/>
    <x v="5"/>
    <x v="0"/>
  </r>
  <r>
    <n v="384"/>
    <n v="160"/>
    <n v="1"/>
    <x v="2"/>
    <n v="16"/>
    <n v="16"/>
    <x v="0"/>
    <x v="0"/>
    <x v="1"/>
    <x v="0"/>
  </r>
  <r>
    <n v="385"/>
    <n v="161"/>
    <n v="1"/>
    <x v="2"/>
    <n v="10.5"/>
    <n v="10.5"/>
    <x v="2"/>
    <x v="0"/>
    <x v="0"/>
    <x v="0"/>
  </r>
  <r>
    <n v="386"/>
    <n v="161"/>
    <n v="1"/>
    <x v="2"/>
    <n v="16.5"/>
    <n v="16.5"/>
    <x v="0"/>
    <x v="2"/>
    <x v="12"/>
    <x v="0"/>
  </r>
  <r>
    <n v="387"/>
    <n v="161"/>
    <n v="1"/>
    <x v="2"/>
    <n v="25.5"/>
    <n v="25.5"/>
    <x v="3"/>
    <x v="0"/>
    <x v="8"/>
    <x v="0"/>
  </r>
  <r>
    <n v="388"/>
    <n v="162"/>
    <n v="1"/>
    <x v="2"/>
    <n v="12"/>
    <n v="12"/>
    <x v="2"/>
    <x v="0"/>
    <x v="19"/>
    <x v="0"/>
  </r>
  <r>
    <n v="389"/>
    <n v="163"/>
    <n v="1"/>
    <x v="2"/>
    <n v="13.25"/>
    <n v="13.25"/>
    <x v="0"/>
    <x v="0"/>
    <x v="0"/>
    <x v="0"/>
  </r>
  <r>
    <n v="390"/>
    <n v="163"/>
    <n v="1"/>
    <x v="2"/>
    <n v="15.25"/>
    <n v="15.25"/>
    <x v="1"/>
    <x v="0"/>
    <x v="17"/>
    <x v="0"/>
  </r>
  <r>
    <n v="391"/>
    <n v="163"/>
    <n v="1"/>
    <x v="2"/>
    <n v="16"/>
    <n v="16"/>
    <x v="0"/>
    <x v="0"/>
    <x v="8"/>
    <x v="0"/>
  </r>
  <r>
    <n v="392"/>
    <n v="164"/>
    <n v="1"/>
    <x v="2"/>
    <n v="20.75"/>
    <n v="20.75"/>
    <x v="1"/>
    <x v="3"/>
    <x v="16"/>
    <x v="0"/>
  </r>
  <r>
    <n v="393"/>
    <n v="164"/>
    <n v="1"/>
    <x v="2"/>
    <n v="12.5"/>
    <n v="12.5"/>
    <x v="0"/>
    <x v="0"/>
    <x v="17"/>
    <x v="0"/>
  </r>
  <r>
    <n v="394"/>
    <n v="165"/>
    <n v="1"/>
    <x v="2"/>
    <n v="16.5"/>
    <n v="16.5"/>
    <x v="0"/>
    <x v="2"/>
    <x v="6"/>
    <x v="0"/>
  </r>
  <r>
    <n v="395"/>
    <n v="166"/>
    <n v="1"/>
    <x v="2"/>
    <n v="12.5"/>
    <n v="12.5"/>
    <x v="2"/>
    <x v="2"/>
    <x v="6"/>
    <x v="0"/>
  </r>
  <r>
    <n v="396"/>
    <n v="167"/>
    <n v="1"/>
    <x v="2"/>
    <n v="20.75"/>
    <n v="20.75"/>
    <x v="1"/>
    <x v="3"/>
    <x v="7"/>
    <x v="0"/>
  </r>
  <r>
    <n v="397"/>
    <n v="167"/>
    <n v="1"/>
    <x v="2"/>
    <n v="16.5"/>
    <n v="16.5"/>
    <x v="0"/>
    <x v="2"/>
    <x v="3"/>
    <x v="0"/>
  </r>
  <r>
    <n v="398"/>
    <n v="167"/>
    <n v="1"/>
    <x v="2"/>
    <n v="12.5"/>
    <n v="12.5"/>
    <x v="0"/>
    <x v="0"/>
    <x v="17"/>
    <x v="0"/>
  </r>
  <r>
    <n v="399"/>
    <n v="168"/>
    <n v="1"/>
    <x v="2"/>
    <n v="12"/>
    <n v="12"/>
    <x v="2"/>
    <x v="0"/>
    <x v="19"/>
    <x v="0"/>
  </r>
  <r>
    <n v="400"/>
    <n v="168"/>
    <n v="1"/>
    <x v="2"/>
    <n v="16"/>
    <n v="16"/>
    <x v="0"/>
    <x v="1"/>
    <x v="14"/>
    <x v="0"/>
  </r>
  <r>
    <n v="401"/>
    <n v="169"/>
    <n v="1"/>
    <x v="2"/>
    <n v="17.95"/>
    <n v="17.95"/>
    <x v="1"/>
    <x v="1"/>
    <x v="21"/>
    <x v="0"/>
  </r>
  <r>
    <n v="402"/>
    <n v="169"/>
    <n v="1"/>
    <x v="2"/>
    <n v="12"/>
    <n v="12"/>
    <x v="2"/>
    <x v="0"/>
    <x v="11"/>
    <x v="0"/>
  </r>
  <r>
    <n v="403"/>
    <n v="169"/>
    <n v="1"/>
    <x v="2"/>
    <n v="16.25"/>
    <n v="16.25"/>
    <x v="0"/>
    <x v="2"/>
    <x v="28"/>
    <x v="0"/>
  </r>
  <r>
    <n v="404"/>
    <n v="170"/>
    <n v="1"/>
    <x v="2"/>
    <n v="16.5"/>
    <n v="16.5"/>
    <x v="1"/>
    <x v="0"/>
    <x v="0"/>
    <x v="0"/>
  </r>
  <r>
    <n v="405"/>
    <n v="171"/>
    <n v="1"/>
    <x v="2"/>
    <n v="16"/>
    <n v="16"/>
    <x v="0"/>
    <x v="0"/>
    <x v="22"/>
    <x v="0"/>
  </r>
  <r>
    <n v="406"/>
    <n v="172"/>
    <n v="1"/>
    <x v="2"/>
    <n v="12"/>
    <n v="12"/>
    <x v="2"/>
    <x v="0"/>
    <x v="22"/>
    <x v="0"/>
  </r>
  <r>
    <n v="407"/>
    <n v="172"/>
    <n v="1"/>
    <x v="2"/>
    <n v="16.5"/>
    <n v="16.5"/>
    <x v="0"/>
    <x v="2"/>
    <x v="9"/>
    <x v="0"/>
  </r>
  <r>
    <n v="408"/>
    <n v="172"/>
    <n v="1"/>
    <x v="2"/>
    <n v="20.75"/>
    <n v="20.75"/>
    <x v="1"/>
    <x v="3"/>
    <x v="5"/>
    <x v="0"/>
  </r>
  <r>
    <n v="409"/>
    <n v="173"/>
    <n v="1"/>
    <x v="2"/>
    <n v="16.75"/>
    <n v="16.75"/>
    <x v="0"/>
    <x v="3"/>
    <x v="16"/>
    <x v="0"/>
  </r>
  <r>
    <n v="410"/>
    <n v="173"/>
    <n v="1"/>
    <x v="2"/>
    <n v="16"/>
    <n v="16"/>
    <x v="0"/>
    <x v="0"/>
    <x v="1"/>
    <x v="0"/>
  </r>
  <r>
    <n v="411"/>
    <n v="173"/>
    <n v="1"/>
    <x v="2"/>
    <n v="20.25"/>
    <n v="20.25"/>
    <x v="1"/>
    <x v="1"/>
    <x v="14"/>
    <x v="0"/>
  </r>
  <r>
    <n v="412"/>
    <n v="174"/>
    <n v="1"/>
    <x v="2"/>
    <n v="12"/>
    <n v="12"/>
    <x v="2"/>
    <x v="0"/>
    <x v="19"/>
    <x v="0"/>
  </r>
  <r>
    <n v="413"/>
    <n v="174"/>
    <n v="1"/>
    <x v="2"/>
    <n v="20.75"/>
    <n v="20.75"/>
    <x v="1"/>
    <x v="3"/>
    <x v="16"/>
    <x v="0"/>
  </r>
  <r>
    <n v="414"/>
    <n v="174"/>
    <n v="1"/>
    <x v="2"/>
    <n v="16.75"/>
    <n v="16.75"/>
    <x v="0"/>
    <x v="3"/>
    <x v="16"/>
    <x v="0"/>
  </r>
  <r>
    <n v="415"/>
    <n v="174"/>
    <n v="1"/>
    <x v="2"/>
    <n v="16"/>
    <n v="16"/>
    <x v="0"/>
    <x v="0"/>
    <x v="11"/>
    <x v="0"/>
  </r>
  <r>
    <n v="416"/>
    <n v="175"/>
    <n v="1"/>
    <x v="2"/>
    <n v="20.75"/>
    <n v="20.75"/>
    <x v="1"/>
    <x v="2"/>
    <x v="3"/>
    <x v="0"/>
  </r>
  <r>
    <n v="417"/>
    <n v="176"/>
    <n v="1"/>
    <x v="2"/>
    <n v="20.75"/>
    <n v="20.75"/>
    <x v="1"/>
    <x v="3"/>
    <x v="16"/>
    <x v="0"/>
  </r>
  <r>
    <n v="418"/>
    <n v="176"/>
    <n v="1"/>
    <x v="2"/>
    <n v="16.5"/>
    <n v="16.5"/>
    <x v="0"/>
    <x v="2"/>
    <x v="26"/>
    <x v="0"/>
  </r>
  <r>
    <n v="419"/>
    <n v="177"/>
    <n v="1"/>
    <x v="2"/>
    <n v="12"/>
    <n v="12"/>
    <x v="2"/>
    <x v="0"/>
    <x v="22"/>
    <x v="0"/>
  </r>
  <r>
    <n v="420"/>
    <n v="177"/>
    <n v="1"/>
    <x v="2"/>
    <n v="20.75"/>
    <n v="20.75"/>
    <x v="1"/>
    <x v="3"/>
    <x v="5"/>
    <x v="0"/>
  </r>
  <r>
    <n v="421"/>
    <n v="178"/>
    <n v="1"/>
    <x v="2"/>
    <n v="20.75"/>
    <n v="20.75"/>
    <x v="1"/>
    <x v="2"/>
    <x v="26"/>
    <x v="0"/>
  </r>
  <r>
    <n v="422"/>
    <n v="179"/>
    <n v="1"/>
    <x v="2"/>
    <n v="16.5"/>
    <n v="16.5"/>
    <x v="1"/>
    <x v="0"/>
    <x v="0"/>
    <x v="0"/>
  </r>
  <r>
    <n v="423"/>
    <n v="179"/>
    <n v="1"/>
    <x v="2"/>
    <n v="16.25"/>
    <n v="16.25"/>
    <x v="0"/>
    <x v="2"/>
    <x v="28"/>
    <x v="0"/>
  </r>
  <r>
    <n v="424"/>
    <n v="179"/>
    <n v="1"/>
    <x v="2"/>
    <n v="12"/>
    <n v="12"/>
    <x v="2"/>
    <x v="1"/>
    <x v="14"/>
    <x v="0"/>
  </r>
  <r>
    <n v="425"/>
    <n v="180"/>
    <n v="1"/>
    <x v="2"/>
    <n v="20.5"/>
    <n v="20.5"/>
    <x v="1"/>
    <x v="0"/>
    <x v="1"/>
    <x v="0"/>
  </r>
  <r>
    <n v="426"/>
    <n v="180"/>
    <n v="1"/>
    <x v="2"/>
    <n v="20.75"/>
    <n v="20.75"/>
    <x v="1"/>
    <x v="2"/>
    <x v="6"/>
    <x v="0"/>
  </r>
  <r>
    <n v="427"/>
    <n v="181"/>
    <n v="1"/>
    <x v="2"/>
    <n v="20.25"/>
    <n v="20.25"/>
    <x v="1"/>
    <x v="1"/>
    <x v="4"/>
    <x v="0"/>
  </r>
  <r>
    <n v="428"/>
    <n v="182"/>
    <n v="1"/>
    <x v="2"/>
    <n v="23.65"/>
    <n v="23.65"/>
    <x v="2"/>
    <x v="2"/>
    <x v="31"/>
    <x v="0"/>
  </r>
  <r>
    <n v="429"/>
    <n v="182"/>
    <n v="1"/>
    <x v="2"/>
    <n v="20.75"/>
    <n v="20.75"/>
    <x v="1"/>
    <x v="2"/>
    <x v="26"/>
    <x v="0"/>
  </r>
  <r>
    <n v="430"/>
    <n v="183"/>
    <n v="1"/>
    <x v="2"/>
    <n v="16"/>
    <n v="16"/>
    <x v="0"/>
    <x v="0"/>
    <x v="22"/>
    <x v="0"/>
  </r>
  <r>
    <n v="431"/>
    <n v="183"/>
    <n v="1"/>
    <x v="2"/>
    <n v="20.75"/>
    <n v="20.75"/>
    <x v="1"/>
    <x v="1"/>
    <x v="13"/>
    <x v="0"/>
  </r>
  <r>
    <n v="432"/>
    <n v="183"/>
    <n v="1"/>
    <x v="2"/>
    <n v="12.5"/>
    <n v="12.5"/>
    <x v="2"/>
    <x v="1"/>
    <x v="13"/>
    <x v="0"/>
  </r>
  <r>
    <n v="433"/>
    <n v="184"/>
    <n v="1"/>
    <x v="2"/>
    <n v="16.5"/>
    <n v="16.5"/>
    <x v="1"/>
    <x v="0"/>
    <x v="0"/>
    <x v="0"/>
  </r>
  <r>
    <n v="434"/>
    <n v="185"/>
    <n v="1"/>
    <x v="2"/>
    <n v="16.25"/>
    <n v="16.25"/>
    <x v="0"/>
    <x v="2"/>
    <x v="28"/>
    <x v="0"/>
  </r>
  <r>
    <n v="435"/>
    <n v="185"/>
    <n v="1"/>
    <x v="2"/>
    <n v="12.5"/>
    <n v="12.5"/>
    <x v="2"/>
    <x v="1"/>
    <x v="13"/>
    <x v="0"/>
  </r>
  <r>
    <n v="436"/>
    <n v="186"/>
    <n v="1"/>
    <x v="2"/>
    <n v="20.25"/>
    <n v="20.25"/>
    <x v="1"/>
    <x v="1"/>
    <x v="4"/>
    <x v="0"/>
  </r>
  <r>
    <n v="437"/>
    <n v="186"/>
    <n v="1"/>
    <x v="2"/>
    <n v="20.75"/>
    <n v="20.75"/>
    <x v="1"/>
    <x v="3"/>
    <x v="15"/>
    <x v="0"/>
  </r>
  <r>
    <n v="438"/>
    <n v="186"/>
    <n v="1"/>
    <x v="2"/>
    <n v="20.75"/>
    <n v="20.75"/>
    <x v="1"/>
    <x v="1"/>
    <x v="13"/>
    <x v="0"/>
  </r>
  <r>
    <n v="439"/>
    <n v="186"/>
    <n v="1"/>
    <x v="2"/>
    <n v="20.75"/>
    <n v="20.75"/>
    <x v="1"/>
    <x v="3"/>
    <x v="5"/>
    <x v="0"/>
  </r>
  <r>
    <n v="440"/>
    <n v="187"/>
    <n v="1"/>
    <x v="2"/>
    <n v="18.5"/>
    <n v="18.5"/>
    <x v="1"/>
    <x v="1"/>
    <x v="2"/>
    <x v="0"/>
  </r>
  <r>
    <n v="441"/>
    <n v="187"/>
    <n v="1"/>
    <x v="2"/>
    <n v="20.75"/>
    <n v="20.75"/>
    <x v="1"/>
    <x v="1"/>
    <x v="13"/>
    <x v="0"/>
  </r>
  <r>
    <n v="442"/>
    <n v="188"/>
    <n v="1"/>
    <x v="2"/>
    <n v="18.5"/>
    <n v="18.5"/>
    <x v="1"/>
    <x v="1"/>
    <x v="2"/>
    <x v="0"/>
  </r>
  <r>
    <n v="443"/>
    <n v="188"/>
    <n v="1"/>
    <x v="2"/>
    <n v="9.75"/>
    <n v="9.75"/>
    <x v="2"/>
    <x v="0"/>
    <x v="17"/>
    <x v="0"/>
  </r>
  <r>
    <n v="444"/>
    <n v="188"/>
    <n v="1"/>
    <x v="2"/>
    <n v="20.75"/>
    <n v="20.75"/>
    <x v="1"/>
    <x v="2"/>
    <x v="26"/>
    <x v="0"/>
  </r>
  <r>
    <n v="445"/>
    <n v="189"/>
    <n v="2"/>
    <x v="2"/>
    <n v="12"/>
    <n v="24"/>
    <x v="2"/>
    <x v="0"/>
    <x v="19"/>
    <x v="0"/>
  </r>
  <r>
    <n v="446"/>
    <n v="189"/>
    <n v="1"/>
    <x v="2"/>
    <n v="12.75"/>
    <n v="12.75"/>
    <x v="2"/>
    <x v="3"/>
    <x v="5"/>
    <x v="0"/>
  </r>
  <r>
    <n v="447"/>
    <n v="190"/>
    <n v="1"/>
    <x v="2"/>
    <n v="20.75"/>
    <n v="20.75"/>
    <x v="1"/>
    <x v="3"/>
    <x v="7"/>
    <x v="0"/>
  </r>
  <r>
    <n v="448"/>
    <n v="190"/>
    <n v="1"/>
    <x v="2"/>
    <n v="14.75"/>
    <n v="14.75"/>
    <x v="0"/>
    <x v="1"/>
    <x v="21"/>
    <x v="0"/>
  </r>
  <r>
    <n v="449"/>
    <n v="190"/>
    <n v="1"/>
    <x v="2"/>
    <n v="11"/>
    <n v="11"/>
    <x v="2"/>
    <x v="0"/>
    <x v="30"/>
    <x v="0"/>
  </r>
  <r>
    <n v="450"/>
    <n v="190"/>
    <n v="1"/>
    <x v="2"/>
    <n v="20.75"/>
    <n v="20.75"/>
    <x v="1"/>
    <x v="2"/>
    <x v="6"/>
    <x v="0"/>
  </r>
  <r>
    <n v="451"/>
    <n v="191"/>
    <n v="1"/>
    <x v="2"/>
    <n v="20.75"/>
    <n v="20.75"/>
    <x v="1"/>
    <x v="3"/>
    <x v="16"/>
    <x v="0"/>
  </r>
  <r>
    <n v="452"/>
    <n v="191"/>
    <n v="1"/>
    <x v="2"/>
    <n v="16.75"/>
    <n v="16.75"/>
    <x v="0"/>
    <x v="3"/>
    <x v="29"/>
    <x v="0"/>
  </r>
  <r>
    <n v="453"/>
    <n v="192"/>
    <n v="1"/>
    <x v="2"/>
    <n v="12.25"/>
    <n v="12.25"/>
    <x v="2"/>
    <x v="2"/>
    <x v="28"/>
    <x v="0"/>
  </r>
  <r>
    <n v="454"/>
    <n v="192"/>
    <n v="1"/>
    <x v="2"/>
    <n v="20.75"/>
    <n v="20.75"/>
    <x v="1"/>
    <x v="3"/>
    <x v="15"/>
    <x v="0"/>
  </r>
  <r>
    <n v="455"/>
    <n v="193"/>
    <n v="1"/>
    <x v="2"/>
    <n v="12"/>
    <n v="12"/>
    <x v="2"/>
    <x v="0"/>
    <x v="19"/>
    <x v="0"/>
  </r>
  <r>
    <n v="456"/>
    <n v="193"/>
    <n v="1"/>
    <x v="2"/>
    <n v="16.75"/>
    <n v="16.75"/>
    <x v="0"/>
    <x v="3"/>
    <x v="16"/>
    <x v="0"/>
  </r>
  <r>
    <n v="457"/>
    <n v="193"/>
    <n v="2"/>
    <x v="2"/>
    <n v="20.75"/>
    <n v="41.5"/>
    <x v="1"/>
    <x v="3"/>
    <x v="29"/>
    <x v="0"/>
  </r>
  <r>
    <n v="458"/>
    <n v="194"/>
    <n v="1"/>
    <x v="2"/>
    <n v="12.75"/>
    <n v="12.75"/>
    <x v="2"/>
    <x v="3"/>
    <x v="7"/>
    <x v="0"/>
  </r>
  <r>
    <n v="459"/>
    <n v="195"/>
    <n v="1"/>
    <x v="2"/>
    <n v="20.75"/>
    <n v="20.75"/>
    <x v="1"/>
    <x v="3"/>
    <x v="7"/>
    <x v="0"/>
  </r>
  <r>
    <n v="460"/>
    <n v="196"/>
    <n v="1"/>
    <x v="2"/>
    <n v="12.25"/>
    <n v="12.25"/>
    <x v="2"/>
    <x v="2"/>
    <x v="28"/>
    <x v="0"/>
  </r>
  <r>
    <n v="461"/>
    <n v="196"/>
    <n v="1"/>
    <x v="2"/>
    <n v="16.5"/>
    <n v="16.5"/>
    <x v="0"/>
    <x v="2"/>
    <x v="12"/>
    <x v="0"/>
  </r>
  <r>
    <n v="462"/>
    <n v="196"/>
    <n v="1"/>
    <x v="2"/>
    <n v="16"/>
    <n v="16"/>
    <x v="0"/>
    <x v="1"/>
    <x v="14"/>
    <x v="0"/>
  </r>
  <r>
    <n v="463"/>
    <n v="197"/>
    <n v="1"/>
    <x v="2"/>
    <n v="17.95"/>
    <n v="17.95"/>
    <x v="1"/>
    <x v="1"/>
    <x v="21"/>
    <x v="0"/>
  </r>
  <r>
    <n v="464"/>
    <n v="197"/>
    <n v="1"/>
    <x v="2"/>
    <n v="20.5"/>
    <n v="20.5"/>
    <x v="1"/>
    <x v="0"/>
    <x v="11"/>
    <x v="0"/>
  </r>
  <r>
    <n v="465"/>
    <n v="197"/>
    <n v="1"/>
    <x v="2"/>
    <n v="21"/>
    <n v="21"/>
    <x v="1"/>
    <x v="1"/>
    <x v="24"/>
    <x v="0"/>
  </r>
  <r>
    <n v="466"/>
    <n v="197"/>
    <n v="1"/>
    <x v="2"/>
    <n v="20.75"/>
    <n v="20.75"/>
    <x v="1"/>
    <x v="2"/>
    <x v="20"/>
    <x v="0"/>
  </r>
  <r>
    <n v="467"/>
    <n v="198"/>
    <n v="1"/>
    <x v="2"/>
    <n v="12"/>
    <n v="12"/>
    <x v="2"/>
    <x v="0"/>
    <x v="19"/>
    <x v="0"/>
  </r>
  <r>
    <n v="468"/>
    <n v="198"/>
    <n v="1"/>
    <x v="2"/>
    <n v="20.75"/>
    <n v="20.75"/>
    <x v="1"/>
    <x v="3"/>
    <x v="29"/>
    <x v="0"/>
  </r>
  <r>
    <n v="469"/>
    <n v="199"/>
    <n v="1"/>
    <x v="2"/>
    <n v="16.75"/>
    <n v="16.75"/>
    <x v="0"/>
    <x v="3"/>
    <x v="29"/>
    <x v="0"/>
  </r>
  <r>
    <n v="470"/>
    <n v="200"/>
    <n v="1"/>
    <x v="2"/>
    <n v="25.5"/>
    <n v="25.5"/>
    <x v="3"/>
    <x v="0"/>
    <x v="8"/>
    <x v="0"/>
  </r>
  <r>
    <n v="471"/>
    <n v="201"/>
    <n v="1"/>
    <x v="2"/>
    <n v="16.25"/>
    <n v="16.25"/>
    <x v="0"/>
    <x v="2"/>
    <x v="23"/>
    <x v="0"/>
  </r>
  <r>
    <n v="472"/>
    <n v="201"/>
    <n v="1"/>
    <x v="2"/>
    <n v="20.75"/>
    <n v="20.75"/>
    <x v="1"/>
    <x v="3"/>
    <x v="18"/>
    <x v="0"/>
  </r>
  <r>
    <n v="473"/>
    <n v="201"/>
    <n v="1"/>
    <x v="2"/>
    <n v="20.75"/>
    <n v="20.75"/>
    <x v="1"/>
    <x v="2"/>
    <x v="3"/>
    <x v="0"/>
  </r>
  <r>
    <n v="474"/>
    <n v="201"/>
    <n v="1"/>
    <x v="2"/>
    <n v="25.5"/>
    <n v="25.5"/>
    <x v="3"/>
    <x v="0"/>
    <x v="8"/>
    <x v="0"/>
  </r>
  <r>
    <n v="475"/>
    <n v="202"/>
    <n v="1"/>
    <x v="2"/>
    <n v="12.75"/>
    <n v="12.75"/>
    <x v="2"/>
    <x v="3"/>
    <x v="16"/>
    <x v="0"/>
  </r>
  <r>
    <n v="476"/>
    <n v="203"/>
    <n v="1"/>
    <x v="3"/>
    <n v="20.75"/>
    <n v="20.75"/>
    <x v="1"/>
    <x v="3"/>
    <x v="16"/>
    <x v="0"/>
  </r>
  <r>
    <n v="477"/>
    <n v="203"/>
    <n v="1"/>
    <x v="3"/>
    <n v="16.75"/>
    <n v="16.75"/>
    <x v="0"/>
    <x v="1"/>
    <x v="24"/>
    <x v="0"/>
  </r>
  <r>
    <n v="478"/>
    <n v="203"/>
    <n v="1"/>
    <x v="3"/>
    <n v="17.5"/>
    <n v="17.5"/>
    <x v="1"/>
    <x v="0"/>
    <x v="30"/>
    <x v="0"/>
  </r>
  <r>
    <n v="479"/>
    <n v="203"/>
    <n v="1"/>
    <x v="3"/>
    <n v="12"/>
    <n v="12"/>
    <x v="2"/>
    <x v="0"/>
    <x v="8"/>
    <x v="0"/>
  </r>
  <r>
    <n v="480"/>
    <n v="204"/>
    <n v="1"/>
    <x v="3"/>
    <n v="20.75"/>
    <n v="20.75"/>
    <x v="1"/>
    <x v="2"/>
    <x v="12"/>
    <x v="0"/>
  </r>
  <r>
    <n v="481"/>
    <n v="205"/>
    <n v="1"/>
    <x v="3"/>
    <n v="12.75"/>
    <n v="12.75"/>
    <x v="2"/>
    <x v="3"/>
    <x v="16"/>
    <x v="0"/>
  </r>
  <r>
    <n v="482"/>
    <n v="205"/>
    <n v="1"/>
    <x v="3"/>
    <n v="16.75"/>
    <n v="16.75"/>
    <x v="0"/>
    <x v="3"/>
    <x v="29"/>
    <x v="0"/>
  </r>
  <r>
    <n v="483"/>
    <n v="205"/>
    <n v="1"/>
    <x v="3"/>
    <n v="12.5"/>
    <n v="12.5"/>
    <x v="2"/>
    <x v="2"/>
    <x v="6"/>
    <x v="0"/>
  </r>
  <r>
    <n v="484"/>
    <n v="206"/>
    <n v="1"/>
    <x v="3"/>
    <n v="16"/>
    <n v="16"/>
    <x v="0"/>
    <x v="0"/>
    <x v="22"/>
    <x v="0"/>
  </r>
  <r>
    <n v="485"/>
    <n v="206"/>
    <n v="1"/>
    <x v="3"/>
    <n v="9.75"/>
    <n v="9.75"/>
    <x v="2"/>
    <x v="0"/>
    <x v="17"/>
    <x v="0"/>
  </r>
  <r>
    <n v="486"/>
    <n v="206"/>
    <n v="1"/>
    <x v="3"/>
    <n v="20.75"/>
    <n v="20.75"/>
    <x v="1"/>
    <x v="2"/>
    <x v="12"/>
    <x v="0"/>
  </r>
  <r>
    <n v="487"/>
    <n v="207"/>
    <n v="1"/>
    <x v="3"/>
    <n v="20.75"/>
    <n v="20.75"/>
    <x v="1"/>
    <x v="2"/>
    <x v="12"/>
    <x v="0"/>
  </r>
  <r>
    <n v="488"/>
    <n v="208"/>
    <n v="1"/>
    <x v="3"/>
    <n v="20.75"/>
    <n v="20.75"/>
    <x v="1"/>
    <x v="3"/>
    <x v="7"/>
    <x v="0"/>
  </r>
  <r>
    <n v="489"/>
    <n v="208"/>
    <n v="1"/>
    <x v="3"/>
    <n v="12.75"/>
    <n v="12.75"/>
    <x v="2"/>
    <x v="3"/>
    <x v="7"/>
    <x v="0"/>
  </r>
  <r>
    <n v="490"/>
    <n v="208"/>
    <n v="1"/>
    <x v="3"/>
    <n v="16.75"/>
    <n v="16.75"/>
    <x v="0"/>
    <x v="3"/>
    <x v="29"/>
    <x v="0"/>
  </r>
  <r>
    <n v="491"/>
    <n v="208"/>
    <n v="1"/>
    <x v="3"/>
    <n v="12.5"/>
    <n v="12.5"/>
    <x v="0"/>
    <x v="0"/>
    <x v="17"/>
    <x v="0"/>
  </r>
  <r>
    <n v="492"/>
    <n v="208"/>
    <n v="1"/>
    <x v="3"/>
    <n v="16"/>
    <n v="16"/>
    <x v="0"/>
    <x v="0"/>
    <x v="8"/>
    <x v="0"/>
  </r>
  <r>
    <n v="493"/>
    <n v="209"/>
    <n v="1"/>
    <x v="3"/>
    <n v="20.75"/>
    <n v="20.75"/>
    <x v="1"/>
    <x v="3"/>
    <x v="16"/>
    <x v="0"/>
  </r>
  <r>
    <n v="494"/>
    <n v="210"/>
    <n v="1"/>
    <x v="3"/>
    <n v="12"/>
    <n v="12"/>
    <x v="2"/>
    <x v="1"/>
    <x v="27"/>
    <x v="0"/>
  </r>
  <r>
    <n v="495"/>
    <n v="211"/>
    <n v="1"/>
    <x v="3"/>
    <n v="9.75"/>
    <n v="9.75"/>
    <x v="2"/>
    <x v="0"/>
    <x v="17"/>
    <x v="0"/>
  </r>
  <r>
    <n v="496"/>
    <n v="212"/>
    <n v="1"/>
    <x v="3"/>
    <n v="20.5"/>
    <n v="20.5"/>
    <x v="1"/>
    <x v="0"/>
    <x v="11"/>
    <x v="0"/>
  </r>
  <r>
    <n v="497"/>
    <n v="213"/>
    <n v="1"/>
    <x v="3"/>
    <n v="17.95"/>
    <n v="17.95"/>
    <x v="1"/>
    <x v="1"/>
    <x v="21"/>
    <x v="0"/>
  </r>
  <r>
    <n v="498"/>
    <n v="214"/>
    <n v="1"/>
    <x v="3"/>
    <n v="20.5"/>
    <n v="20.5"/>
    <x v="1"/>
    <x v="0"/>
    <x v="11"/>
    <x v="0"/>
  </r>
  <r>
    <n v="499"/>
    <n v="214"/>
    <n v="1"/>
    <x v="3"/>
    <n v="16.5"/>
    <n v="16.5"/>
    <x v="0"/>
    <x v="2"/>
    <x v="3"/>
    <x v="0"/>
  </r>
  <r>
    <n v="500"/>
    <n v="214"/>
    <n v="1"/>
    <x v="3"/>
    <n v="12"/>
    <n v="12"/>
    <x v="2"/>
    <x v="1"/>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827323-6A61-4441-A4CB-A0B1254266C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A3:C8" firstHeaderRow="0" firstDataRow="1" firstDataCol="1"/>
  <pivotFields count="12">
    <pivotField showAll="0"/>
    <pivotField showAll="0"/>
    <pivotField dataField="1" showAll="0"/>
    <pivotField numFmtId="14" showAll="0">
      <items count="5">
        <item x="0"/>
        <item x="1"/>
        <item x="2"/>
        <item x="3"/>
        <item t="default"/>
      </items>
    </pivotField>
    <pivotField showAll="0"/>
    <pivotField dataField="1" showAll="0"/>
    <pivotField showAll="0"/>
    <pivotField showAll="0">
      <items count="5">
        <item x="3"/>
        <item x="0"/>
        <item x="2"/>
        <item x="1"/>
        <item t="default"/>
      </items>
    </pivotField>
    <pivotField showAll="0"/>
    <pivotField showAll="0">
      <items count="6">
        <item x="4"/>
        <item x="2"/>
        <item x="3"/>
        <item x="1"/>
        <item x="0"/>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defaultSubtotal="0">
      <items count="14">
        <item x="0"/>
        <item x="1"/>
        <item x="2"/>
        <item x="3"/>
        <item x="4"/>
        <item x="5"/>
        <item x="6"/>
        <item x="7"/>
        <item x="8"/>
        <item x="9"/>
        <item x="10"/>
        <item x="11"/>
        <item x="12"/>
        <item x="13"/>
      </items>
    </pivotField>
  </pivotFields>
  <rowFields count="1">
    <field x="11"/>
  </rowFields>
  <rowItems count="5">
    <i>
      <x v="1"/>
    </i>
    <i>
      <x v="2"/>
    </i>
    <i>
      <x v="3"/>
    </i>
    <i>
      <x v="4"/>
    </i>
    <i t="grand">
      <x/>
    </i>
  </rowItems>
  <colFields count="1">
    <field x="-2"/>
  </colFields>
  <colItems count="2">
    <i>
      <x/>
    </i>
    <i i="1">
      <x v="1"/>
    </i>
  </colItems>
  <dataFields count="2">
    <dataField name="Sum of quantity" fld="2" baseField="0" baseItem="0"/>
    <dataField name="Sum of total_price"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8313C9-D5D2-41E1-8B24-AF423E905D3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izza size">
  <location ref="A3:C8" firstHeaderRow="0" firstDataRow="1" firstDataCol="1"/>
  <pivotFields count="12">
    <pivotField showAll="0"/>
    <pivotField showAll="0"/>
    <pivotField dataField="1" showAll="0"/>
    <pivotField numFmtId="14" showAll="0">
      <items count="5">
        <item x="0"/>
        <item x="1"/>
        <item x="2"/>
        <item x="3"/>
        <item t="default"/>
      </items>
    </pivotField>
    <pivotField showAll="0"/>
    <pivotField dataField="1" showAll="0"/>
    <pivotField axis="axisRow" showAll="0">
      <items count="5">
        <item x="1"/>
        <item x="0"/>
        <item x="2"/>
        <item x="3"/>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Fields count="1">
    <field x="-2"/>
  </colFields>
  <colItems count="2">
    <i>
      <x/>
    </i>
    <i i="1">
      <x v="1"/>
    </i>
  </colItems>
  <dataFields count="2">
    <dataField name="Sum of quantity" fld="2" baseField="0" baseItem="0"/>
    <dataField name="Sum of total_price"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D84739-63DE-4CD2-A8B5-DC6F6517520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izza category">
  <location ref="A3:C8" firstHeaderRow="0" firstDataRow="1" firstDataCol="1"/>
  <pivotFields count="12">
    <pivotField showAll="0"/>
    <pivotField showAll="0"/>
    <pivotField dataField="1" showAll="0"/>
    <pivotField numFmtId="14" showAll="0">
      <items count="5">
        <item x="0"/>
        <item x="1"/>
        <item x="2"/>
        <item x="3"/>
        <item t="default"/>
      </items>
    </pivotField>
    <pivotField showAll="0"/>
    <pivotField dataField="1" showAll="0"/>
    <pivotField showAll="0"/>
    <pivotField axis="axisRow" showAll="0">
      <items count="5">
        <item x="3"/>
        <item x="0"/>
        <item x="2"/>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Fields count="1">
    <field x="-2"/>
  </colFields>
  <colItems count="2">
    <i>
      <x/>
    </i>
    <i i="1">
      <x v="1"/>
    </i>
  </colItems>
  <dataFields count="2">
    <dataField name="Sum of quantity" fld="2" baseField="0" baseItem="0"/>
    <dataField name="Sum of total_price"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DC669D-2C3C-4D71-BDAD-A743F4D607D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izza name">
  <location ref="A3:C36" firstHeaderRow="0" firstDataRow="1" firstDataCol="1"/>
  <pivotFields count="12">
    <pivotField showAll="0"/>
    <pivotField showAll="0"/>
    <pivotField dataField="1" showAll="0"/>
    <pivotField numFmtId="14" showAll="0">
      <items count="5">
        <item x="0"/>
        <item x="1"/>
        <item x="2"/>
        <item x="3"/>
        <item t="default"/>
      </items>
    </pivotField>
    <pivotField showAll="0"/>
    <pivotField dataField="1" showAll="0"/>
    <pivotField showAll="0"/>
    <pivotField showAll="0"/>
    <pivotField axis="axisRow" showAll="0">
      <items count="33">
        <item x="7"/>
        <item x="19"/>
        <item x="31"/>
        <item x="23"/>
        <item x="16"/>
        <item x="29"/>
        <item x="18"/>
        <item x="1"/>
        <item x="2"/>
        <item x="21"/>
        <item x="8"/>
        <item x="10"/>
        <item x="0"/>
        <item x="11"/>
        <item x="3"/>
        <item x="24"/>
        <item x="25"/>
        <item x="4"/>
        <item x="22"/>
        <item x="26"/>
        <item x="17"/>
        <item x="30"/>
        <item x="6"/>
        <item x="28"/>
        <item x="20"/>
        <item x="15"/>
        <item x="12"/>
        <item x="27"/>
        <item x="13"/>
        <item x="9"/>
        <item x="5"/>
        <item x="1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Sum of quantity" fld="2" baseField="0" baseItem="0"/>
    <dataField name="Sum of total_price"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4816B4B7-A1CD-4C87-B95F-292CC86AC808}" sourceName="quantity">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4AAA3B85-8EDD-4F1A-B5D9-1FA2CF895BF8}" sourceName="order_date">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33FDBF02-469F-44CA-A09E-68948487812D}" sourceName="unit_price">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price" xr10:uid="{9715ADBE-E53C-4C7A-9CEF-0F971C3D2E21}" sourceName="total_price">
  <extLst>
    <x:ext xmlns:x15="http://schemas.microsoft.com/office/spreadsheetml/2010/11/main" uri="{2F2917AC-EB37-4324-AD4E-5DD8C200BD13}">
      <x15:tableSlicerCache tableId="1" column="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 xr10:uid="{61F94E91-179F-4390-A12E-7EA64FEB208B}" sourceName="pizza_size">
  <extLst>
    <x:ext xmlns:x15="http://schemas.microsoft.com/office/spreadsheetml/2010/11/main" uri="{2F2917AC-EB37-4324-AD4E-5DD8C200BD13}">
      <x15:tableSlicerCache tableId="1"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 xr10:uid="{388D4583-1B28-4091-8FFA-9424CC4BD03E}" sourceName="pizza_category">
  <extLst>
    <x:ext xmlns:x15="http://schemas.microsoft.com/office/spreadsheetml/2010/11/main" uri="{2F2917AC-EB37-4324-AD4E-5DD8C200BD13}">
      <x15:tableSlicerCache tableId="1" column="8"/>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name" xr10:uid="{C3A278EF-BE59-4794-A5F1-77FBB84BB1D0}" sourceName="pizza_name">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3C434E80-4687-4A91-985C-F86069B97E9C}" cache="Slicer_quantity" caption="quantity" rowHeight="241300"/>
  <slicer name="order_date" xr10:uid="{F78F4EFB-5B7B-47EB-BA10-D7591DCE76B8}" cache="Slicer_order_date" caption="order_date" rowHeight="241300"/>
  <slicer name="unit_price" xr10:uid="{AD67CB71-92E5-4DE8-8E6A-6910D7BC7717}" cache="Slicer_unit_price" caption="unit_price" startItem="3" rowHeight="241300"/>
  <slicer name="total_price" xr10:uid="{ED597906-7522-4AA3-9777-ACE39A54FD34}" cache="Slicer_total_price" caption="total_price" startItem="22" rowHeight="241300"/>
  <slicer name="pizza_size" xr10:uid="{87D4F4F6-220C-414A-AF29-7C9DD45E5A7E}" cache="Slicer_pizza_size" caption="pizza_size" rowHeight="241300"/>
  <slicer name="pizza_category" xr10:uid="{753F539D-A07F-4CE6-99DA-B49215892C70}" cache="Slicer_pizza_category" caption="pizza_category" rowHeight="241300"/>
  <slicer name="pizza_name" xr10:uid="{50F435F1-1BE0-4E26-ABF2-262B1535223E}" cache="Slicer_pizza_name" caption="pizza_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51F97E-5054-4744-A41B-1E224F0B0423}" name="Table1" displayName="Table1" ref="A1:I501" totalsRowShown="0">
  <autoFilter ref="A1:I501" xr:uid="{37EB6A92-25E6-4DB6-97EF-25F6D8A9D82F}"/>
  <sortState xmlns:xlrd2="http://schemas.microsoft.com/office/spreadsheetml/2017/richdata2" ref="A2:I501">
    <sortCondition ref="D1:D501"/>
  </sortState>
  <tableColumns count="9">
    <tableColumn id="1" xr3:uid="{1B12F3FD-42C8-425C-9A3B-B81D6C639D0F}" name="pizza_id"/>
    <tableColumn id="2" xr3:uid="{6B7DED63-F3D5-4EC6-99B9-D39B9A1F99CB}" name="order_id"/>
    <tableColumn id="3" xr3:uid="{CE934535-1E3F-4306-8719-32B4840F19CB}" name="quantity"/>
    <tableColumn id="4" xr3:uid="{9529E0C4-C95C-4AAD-9173-7BD7E604B2DD}" name="order_date" dataDxfId="0"/>
    <tableColumn id="5" xr3:uid="{1AC4604E-D3D4-4DE2-80CB-020305728BD9}" name="unit_price"/>
    <tableColumn id="6" xr3:uid="{3E781619-97DA-493E-839A-5C3D09117CCA}" name="total_price"/>
    <tableColumn id="7" xr3:uid="{49F6E04A-3505-4813-9C3B-F4FACCC68B6E}" name="pizza_size"/>
    <tableColumn id="8" xr3:uid="{99773335-D063-49A9-B429-0CFB553D2A97}" name="pizza_category"/>
    <tableColumn id="9" xr3:uid="{6644E2E8-FFA1-4F9E-B362-7BCED425CE09}" name="pizza_nam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C485B-0C10-4DC7-9A6B-C9BB6182683E}">
  <dimension ref="A1:I501"/>
  <sheetViews>
    <sheetView workbookViewId="0">
      <selection activeCell="L9" sqref="L9"/>
    </sheetView>
  </sheetViews>
  <sheetFormatPr defaultRowHeight="14.5" x14ac:dyDescent="0.35"/>
  <cols>
    <col min="2" max="2" width="11.54296875" customWidth="1"/>
    <col min="4" max="4" width="15.26953125" bestFit="1" customWidth="1"/>
    <col min="5" max="5" width="12.36328125" customWidth="1"/>
    <col min="6" max="6" width="9.26953125" customWidth="1"/>
    <col min="8" max="8" width="15.36328125" customWidth="1"/>
    <col min="9" max="9" width="44.7265625" customWidth="1"/>
  </cols>
  <sheetData>
    <row r="1" spans="1:9" x14ac:dyDescent="0.35">
      <c r="A1" t="s">
        <v>0</v>
      </c>
      <c r="B1" t="s">
        <v>1</v>
      </c>
      <c r="C1" t="s">
        <v>2</v>
      </c>
      <c r="D1" s="1" t="s">
        <v>3</v>
      </c>
      <c r="E1" t="s">
        <v>4</v>
      </c>
      <c r="F1" t="s">
        <v>5</v>
      </c>
      <c r="G1" t="s">
        <v>6</v>
      </c>
      <c r="H1" t="s">
        <v>7</v>
      </c>
      <c r="I1" t="s">
        <v>8</v>
      </c>
    </row>
    <row r="2" spans="1:9" x14ac:dyDescent="0.35">
      <c r="A2">
        <v>1</v>
      </c>
      <c r="B2">
        <v>1</v>
      </c>
      <c r="C2">
        <v>1</v>
      </c>
      <c r="D2" s="1">
        <v>42005</v>
      </c>
      <c r="E2">
        <v>13.25</v>
      </c>
      <c r="F2">
        <v>13.25</v>
      </c>
      <c r="G2" t="s">
        <v>9</v>
      </c>
      <c r="H2" t="s">
        <v>10</v>
      </c>
      <c r="I2" t="s">
        <v>11</v>
      </c>
    </row>
    <row r="3" spans="1:9" x14ac:dyDescent="0.35">
      <c r="A3">
        <v>2</v>
      </c>
      <c r="B3">
        <v>2</v>
      </c>
      <c r="C3">
        <v>1</v>
      </c>
      <c r="D3" s="1">
        <v>42005</v>
      </c>
      <c r="E3">
        <v>16</v>
      </c>
      <c r="F3">
        <v>16</v>
      </c>
      <c r="G3" t="s">
        <v>9</v>
      </c>
      <c r="H3" t="s">
        <v>10</v>
      </c>
      <c r="I3" t="s">
        <v>12</v>
      </c>
    </row>
    <row r="4" spans="1:9" x14ac:dyDescent="0.35">
      <c r="A4">
        <v>3</v>
      </c>
      <c r="B4">
        <v>2</v>
      </c>
      <c r="C4">
        <v>1</v>
      </c>
      <c r="D4" s="1">
        <v>42005</v>
      </c>
      <c r="E4">
        <v>18.5</v>
      </c>
      <c r="F4">
        <v>18.5</v>
      </c>
      <c r="G4" t="s">
        <v>13</v>
      </c>
      <c r="H4" t="s">
        <v>14</v>
      </c>
      <c r="I4" t="s">
        <v>15</v>
      </c>
    </row>
    <row r="5" spans="1:9" x14ac:dyDescent="0.35">
      <c r="A5">
        <v>4</v>
      </c>
      <c r="B5">
        <v>2</v>
      </c>
      <c r="C5">
        <v>1</v>
      </c>
      <c r="D5" s="1">
        <v>42005</v>
      </c>
      <c r="E5">
        <v>20.75</v>
      </c>
      <c r="F5">
        <v>20.75</v>
      </c>
      <c r="G5" t="s">
        <v>13</v>
      </c>
      <c r="H5" t="s">
        <v>16</v>
      </c>
      <c r="I5" t="s">
        <v>17</v>
      </c>
    </row>
    <row r="6" spans="1:9" x14ac:dyDescent="0.35">
      <c r="A6">
        <v>5</v>
      </c>
      <c r="B6">
        <v>2</v>
      </c>
      <c r="C6">
        <v>1</v>
      </c>
      <c r="D6" s="1">
        <v>42005</v>
      </c>
      <c r="E6">
        <v>16</v>
      </c>
      <c r="F6">
        <v>16</v>
      </c>
      <c r="G6" t="s">
        <v>9</v>
      </c>
      <c r="H6" t="s">
        <v>14</v>
      </c>
      <c r="I6" t="s">
        <v>18</v>
      </c>
    </row>
    <row r="7" spans="1:9" x14ac:dyDescent="0.35">
      <c r="A7">
        <v>6</v>
      </c>
      <c r="B7">
        <v>2</v>
      </c>
      <c r="C7">
        <v>1</v>
      </c>
      <c r="D7" s="1">
        <v>42005</v>
      </c>
      <c r="E7">
        <v>20.75</v>
      </c>
      <c r="F7">
        <v>20.75</v>
      </c>
      <c r="G7" t="s">
        <v>13</v>
      </c>
      <c r="H7" t="s">
        <v>19</v>
      </c>
      <c r="I7" t="s">
        <v>20</v>
      </c>
    </row>
    <row r="8" spans="1:9" x14ac:dyDescent="0.35">
      <c r="A8">
        <v>7</v>
      </c>
      <c r="B8">
        <v>3</v>
      </c>
      <c r="C8">
        <v>1</v>
      </c>
      <c r="D8" s="1">
        <v>42005</v>
      </c>
      <c r="E8">
        <v>16.5</v>
      </c>
      <c r="F8">
        <v>16.5</v>
      </c>
      <c r="G8" t="s">
        <v>9</v>
      </c>
      <c r="H8" t="s">
        <v>16</v>
      </c>
      <c r="I8" t="s">
        <v>17</v>
      </c>
    </row>
    <row r="9" spans="1:9" x14ac:dyDescent="0.35">
      <c r="A9">
        <v>8</v>
      </c>
      <c r="B9">
        <v>3</v>
      </c>
      <c r="C9">
        <v>1</v>
      </c>
      <c r="D9" s="1">
        <v>42005</v>
      </c>
      <c r="E9">
        <v>20.75</v>
      </c>
      <c r="F9">
        <v>20.75</v>
      </c>
      <c r="G9" t="s">
        <v>13</v>
      </c>
      <c r="H9" t="s">
        <v>16</v>
      </c>
      <c r="I9" t="s">
        <v>21</v>
      </c>
    </row>
    <row r="10" spans="1:9" x14ac:dyDescent="0.35">
      <c r="A10">
        <v>9</v>
      </c>
      <c r="B10">
        <v>4</v>
      </c>
      <c r="C10">
        <v>1</v>
      </c>
      <c r="D10" s="1">
        <v>42005</v>
      </c>
      <c r="E10">
        <v>16.5</v>
      </c>
      <c r="F10">
        <v>16.5</v>
      </c>
      <c r="G10" t="s">
        <v>9</v>
      </c>
      <c r="H10" t="s">
        <v>16</v>
      </c>
      <c r="I10" t="s">
        <v>17</v>
      </c>
    </row>
    <row r="11" spans="1:9" x14ac:dyDescent="0.35">
      <c r="A11">
        <v>10</v>
      </c>
      <c r="B11">
        <v>5</v>
      </c>
      <c r="C11">
        <v>1</v>
      </c>
      <c r="D11" s="1">
        <v>42005</v>
      </c>
      <c r="E11">
        <v>16.5</v>
      </c>
      <c r="F11">
        <v>16.5</v>
      </c>
      <c r="G11" t="s">
        <v>9</v>
      </c>
      <c r="H11" t="s">
        <v>16</v>
      </c>
      <c r="I11" t="s">
        <v>17</v>
      </c>
    </row>
    <row r="12" spans="1:9" x14ac:dyDescent="0.35">
      <c r="A12">
        <v>11</v>
      </c>
      <c r="B12">
        <v>6</v>
      </c>
      <c r="C12">
        <v>1</v>
      </c>
      <c r="D12" s="1">
        <v>42005</v>
      </c>
      <c r="E12">
        <v>12.75</v>
      </c>
      <c r="F12">
        <v>12.75</v>
      </c>
      <c r="G12" t="s">
        <v>22</v>
      </c>
      <c r="H12" t="s">
        <v>19</v>
      </c>
      <c r="I12" t="s">
        <v>23</v>
      </c>
    </row>
    <row r="13" spans="1:9" x14ac:dyDescent="0.35">
      <c r="A13">
        <v>12</v>
      </c>
      <c r="B13">
        <v>6</v>
      </c>
      <c r="C13">
        <v>1</v>
      </c>
      <c r="D13" s="1">
        <v>42005</v>
      </c>
      <c r="E13">
        <v>12</v>
      </c>
      <c r="F13">
        <v>12</v>
      </c>
      <c r="G13" t="s">
        <v>22</v>
      </c>
      <c r="H13" t="s">
        <v>10</v>
      </c>
      <c r="I13" t="s">
        <v>24</v>
      </c>
    </row>
    <row r="14" spans="1:9" x14ac:dyDescent="0.35">
      <c r="A14">
        <v>13</v>
      </c>
      <c r="B14">
        <v>7</v>
      </c>
      <c r="C14">
        <v>1</v>
      </c>
      <c r="D14" s="1">
        <v>42005</v>
      </c>
      <c r="E14">
        <v>12.5</v>
      </c>
      <c r="F14">
        <v>12.5</v>
      </c>
      <c r="G14" t="s">
        <v>22</v>
      </c>
      <c r="H14" t="s">
        <v>16</v>
      </c>
      <c r="I14" t="s">
        <v>25</v>
      </c>
    </row>
    <row r="15" spans="1:9" x14ac:dyDescent="0.35">
      <c r="A15">
        <v>14</v>
      </c>
      <c r="B15">
        <v>8</v>
      </c>
      <c r="C15">
        <v>1</v>
      </c>
      <c r="D15" s="1">
        <v>42005</v>
      </c>
      <c r="E15">
        <v>12.5</v>
      </c>
      <c r="F15">
        <v>12.5</v>
      </c>
      <c r="G15" t="s">
        <v>22</v>
      </c>
      <c r="H15" t="s">
        <v>16</v>
      </c>
      <c r="I15" t="s">
        <v>25</v>
      </c>
    </row>
    <row r="16" spans="1:9" x14ac:dyDescent="0.35">
      <c r="A16">
        <v>15</v>
      </c>
      <c r="B16">
        <v>9</v>
      </c>
      <c r="C16">
        <v>1</v>
      </c>
      <c r="D16" s="1">
        <v>42005</v>
      </c>
      <c r="E16">
        <v>12</v>
      </c>
      <c r="F16">
        <v>12</v>
      </c>
      <c r="G16" t="s">
        <v>22</v>
      </c>
      <c r="H16" t="s">
        <v>10</v>
      </c>
      <c r="I16" t="s">
        <v>12</v>
      </c>
    </row>
    <row r="17" spans="1:9" x14ac:dyDescent="0.35">
      <c r="A17">
        <v>16</v>
      </c>
      <c r="B17">
        <v>9</v>
      </c>
      <c r="C17">
        <v>1</v>
      </c>
      <c r="D17" s="1">
        <v>42005</v>
      </c>
      <c r="E17">
        <v>12</v>
      </c>
      <c r="F17">
        <v>12</v>
      </c>
      <c r="G17" t="s">
        <v>22</v>
      </c>
      <c r="H17" t="s">
        <v>14</v>
      </c>
      <c r="I17" t="s">
        <v>26</v>
      </c>
    </row>
    <row r="18" spans="1:9" x14ac:dyDescent="0.35">
      <c r="A18">
        <v>17</v>
      </c>
      <c r="B18">
        <v>9</v>
      </c>
      <c r="C18">
        <v>1</v>
      </c>
      <c r="D18" s="1">
        <v>42005</v>
      </c>
      <c r="E18">
        <v>20.5</v>
      </c>
      <c r="F18">
        <v>20.5</v>
      </c>
      <c r="G18" t="s">
        <v>13</v>
      </c>
      <c r="H18" t="s">
        <v>10</v>
      </c>
      <c r="I18" t="s">
        <v>27</v>
      </c>
    </row>
    <row r="19" spans="1:9" x14ac:dyDescent="0.35">
      <c r="A19">
        <v>18</v>
      </c>
      <c r="B19">
        <v>9</v>
      </c>
      <c r="C19">
        <v>1</v>
      </c>
      <c r="D19" s="1">
        <v>42005</v>
      </c>
      <c r="E19">
        <v>20.75</v>
      </c>
      <c r="F19">
        <v>20.75</v>
      </c>
      <c r="G19" t="s">
        <v>13</v>
      </c>
      <c r="H19" t="s">
        <v>16</v>
      </c>
      <c r="I19" t="s">
        <v>17</v>
      </c>
    </row>
    <row r="20" spans="1:9" x14ac:dyDescent="0.35">
      <c r="A20">
        <v>19</v>
      </c>
      <c r="B20">
        <v>9</v>
      </c>
      <c r="C20">
        <v>1</v>
      </c>
      <c r="D20" s="1">
        <v>42005</v>
      </c>
      <c r="E20">
        <v>12.5</v>
      </c>
      <c r="F20">
        <v>12.5</v>
      </c>
      <c r="G20" t="s">
        <v>22</v>
      </c>
      <c r="H20" t="s">
        <v>16</v>
      </c>
      <c r="I20" t="s">
        <v>17</v>
      </c>
    </row>
    <row r="21" spans="1:9" x14ac:dyDescent="0.35">
      <c r="A21">
        <v>20</v>
      </c>
      <c r="B21">
        <v>9</v>
      </c>
      <c r="C21">
        <v>1</v>
      </c>
      <c r="D21" s="1">
        <v>42005</v>
      </c>
      <c r="E21">
        <v>12</v>
      </c>
      <c r="F21">
        <v>12</v>
      </c>
      <c r="G21" t="s">
        <v>22</v>
      </c>
      <c r="H21" t="s">
        <v>14</v>
      </c>
      <c r="I21" t="s">
        <v>18</v>
      </c>
    </row>
    <row r="22" spans="1:9" x14ac:dyDescent="0.35">
      <c r="A22">
        <v>21</v>
      </c>
      <c r="B22">
        <v>9</v>
      </c>
      <c r="C22">
        <v>1</v>
      </c>
      <c r="D22" s="1">
        <v>42005</v>
      </c>
      <c r="E22">
        <v>20.75</v>
      </c>
      <c r="F22">
        <v>20.75</v>
      </c>
      <c r="G22" t="s">
        <v>13</v>
      </c>
      <c r="H22" t="s">
        <v>16</v>
      </c>
      <c r="I22" t="s">
        <v>28</v>
      </c>
    </row>
    <row r="23" spans="1:9" x14ac:dyDescent="0.35">
      <c r="A23">
        <v>22</v>
      </c>
      <c r="B23">
        <v>9</v>
      </c>
      <c r="C23">
        <v>1</v>
      </c>
      <c r="D23" s="1">
        <v>42005</v>
      </c>
      <c r="E23">
        <v>20.75</v>
      </c>
      <c r="F23">
        <v>20.75</v>
      </c>
      <c r="G23" t="s">
        <v>13</v>
      </c>
      <c r="H23" t="s">
        <v>14</v>
      </c>
      <c r="I23" t="s">
        <v>29</v>
      </c>
    </row>
    <row r="24" spans="1:9" x14ac:dyDescent="0.35">
      <c r="A24">
        <v>23</v>
      </c>
      <c r="B24">
        <v>9</v>
      </c>
      <c r="C24">
        <v>1</v>
      </c>
      <c r="D24" s="1">
        <v>42005</v>
      </c>
      <c r="E24">
        <v>12</v>
      </c>
      <c r="F24">
        <v>12</v>
      </c>
      <c r="G24" t="s">
        <v>22</v>
      </c>
      <c r="H24" t="s">
        <v>14</v>
      </c>
      <c r="I24" t="s">
        <v>30</v>
      </c>
    </row>
    <row r="25" spans="1:9" x14ac:dyDescent="0.35">
      <c r="A25">
        <v>24</v>
      </c>
      <c r="B25">
        <v>10</v>
      </c>
      <c r="C25">
        <v>1</v>
      </c>
      <c r="D25" s="1">
        <v>42005</v>
      </c>
      <c r="E25">
        <v>20.25</v>
      </c>
      <c r="F25">
        <v>20.25</v>
      </c>
      <c r="G25" t="s">
        <v>13</v>
      </c>
      <c r="H25" t="s">
        <v>14</v>
      </c>
      <c r="I25" t="s">
        <v>18</v>
      </c>
    </row>
    <row r="26" spans="1:9" x14ac:dyDescent="0.35">
      <c r="A26">
        <v>25</v>
      </c>
      <c r="B26">
        <v>10</v>
      </c>
      <c r="C26">
        <v>1</v>
      </c>
      <c r="D26" s="1">
        <v>42005</v>
      </c>
      <c r="E26">
        <v>20.75</v>
      </c>
      <c r="F26">
        <v>20.75</v>
      </c>
      <c r="G26" t="s">
        <v>13</v>
      </c>
      <c r="H26" t="s">
        <v>19</v>
      </c>
      <c r="I26" t="s">
        <v>31</v>
      </c>
    </row>
    <row r="27" spans="1:9" x14ac:dyDescent="0.35">
      <c r="A27">
        <v>26</v>
      </c>
      <c r="B27">
        <v>11</v>
      </c>
      <c r="C27">
        <v>1</v>
      </c>
      <c r="D27" s="1">
        <v>42005</v>
      </c>
      <c r="E27">
        <v>20.75</v>
      </c>
      <c r="F27">
        <v>20.75</v>
      </c>
      <c r="G27" t="s">
        <v>13</v>
      </c>
      <c r="H27" t="s">
        <v>19</v>
      </c>
      <c r="I27" t="s">
        <v>23</v>
      </c>
    </row>
    <row r="28" spans="1:9" x14ac:dyDescent="0.35">
      <c r="A28">
        <v>27</v>
      </c>
      <c r="B28">
        <v>11</v>
      </c>
      <c r="C28">
        <v>1</v>
      </c>
      <c r="D28" s="1">
        <v>42005</v>
      </c>
      <c r="E28">
        <v>20.75</v>
      </c>
      <c r="F28">
        <v>20.75</v>
      </c>
      <c r="G28" t="s">
        <v>13</v>
      </c>
      <c r="H28" t="s">
        <v>19</v>
      </c>
      <c r="I28" t="s">
        <v>32</v>
      </c>
    </row>
    <row r="29" spans="1:9" x14ac:dyDescent="0.35">
      <c r="A29">
        <v>28</v>
      </c>
      <c r="B29">
        <v>11</v>
      </c>
      <c r="C29">
        <v>1</v>
      </c>
      <c r="D29" s="1">
        <v>42005</v>
      </c>
      <c r="E29">
        <v>16.75</v>
      </c>
      <c r="F29">
        <v>16.75</v>
      </c>
      <c r="G29" t="s">
        <v>9</v>
      </c>
      <c r="H29" t="s">
        <v>19</v>
      </c>
      <c r="I29" t="s">
        <v>32</v>
      </c>
    </row>
    <row r="30" spans="1:9" x14ac:dyDescent="0.35">
      <c r="A30">
        <v>29</v>
      </c>
      <c r="B30">
        <v>11</v>
      </c>
      <c r="C30">
        <v>1</v>
      </c>
      <c r="D30" s="1">
        <v>42005</v>
      </c>
      <c r="E30">
        <v>15.25</v>
      </c>
      <c r="F30">
        <v>15.25</v>
      </c>
      <c r="G30" t="s">
        <v>13</v>
      </c>
      <c r="H30" t="s">
        <v>10</v>
      </c>
      <c r="I30" t="s">
        <v>33</v>
      </c>
    </row>
    <row r="31" spans="1:9" x14ac:dyDescent="0.35">
      <c r="A31">
        <v>30</v>
      </c>
      <c r="B31">
        <v>12</v>
      </c>
      <c r="C31">
        <v>1</v>
      </c>
      <c r="D31" s="1">
        <v>42005</v>
      </c>
      <c r="E31">
        <v>20.75</v>
      </c>
      <c r="F31">
        <v>20.75</v>
      </c>
      <c r="G31" t="s">
        <v>13</v>
      </c>
      <c r="H31" t="s">
        <v>19</v>
      </c>
      <c r="I31" t="s">
        <v>32</v>
      </c>
    </row>
    <row r="32" spans="1:9" x14ac:dyDescent="0.35">
      <c r="A32">
        <v>31</v>
      </c>
      <c r="B32">
        <v>12</v>
      </c>
      <c r="C32">
        <v>1</v>
      </c>
      <c r="D32" s="1">
        <v>42005</v>
      </c>
      <c r="E32">
        <v>12.75</v>
      </c>
      <c r="F32">
        <v>12.75</v>
      </c>
      <c r="G32" t="s">
        <v>22</v>
      </c>
      <c r="H32" t="s">
        <v>19</v>
      </c>
      <c r="I32" t="s">
        <v>32</v>
      </c>
    </row>
    <row r="33" spans="1:9" x14ac:dyDescent="0.35">
      <c r="A33">
        <v>32</v>
      </c>
      <c r="B33">
        <v>12</v>
      </c>
      <c r="C33">
        <v>1</v>
      </c>
      <c r="D33" s="1">
        <v>42005</v>
      </c>
      <c r="E33">
        <v>20.75</v>
      </c>
      <c r="F33">
        <v>20.75</v>
      </c>
      <c r="G33" t="s">
        <v>13</v>
      </c>
      <c r="H33" t="s">
        <v>19</v>
      </c>
      <c r="I33" t="s">
        <v>34</v>
      </c>
    </row>
    <row r="34" spans="1:9" x14ac:dyDescent="0.35">
      <c r="A34">
        <v>33</v>
      </c>
      <c r="B34">
        <v>12</v>
      </c>
      <c r="C34">
        <v>1</v>
      </c>
      <c r="D34" s="1">
        <v>42005</v>
      </c>
      <c r="E34">
        <v>16.5</v>
      </c>
      <c r="F34">
        <v>16.5</v>
      </c>
      <c r="G34" t="s">
        <v>9</v>
      </c>
      <c r="H34" t="s">
        <v>16</v>
      </c>
      <c r="I34" t="s">
        <v>17</v>
      </c>
    </row>
    <row r="35" spans="1:9" x14ac:dyDescent="0.35">
      <c r="A35">
        <v>34</v>
      </c>
      <c r="B35">
        <v>13</v>
      </c>
      <c r="C35">
        <v>1</v>
      </c>
      <c r="D35" s="1">
        <v>42005</v>
      </c>
      <c r="E35">
        <v>20.25</v>
      </c>
      <c r="F35">
        <v>20.25</v>
      </c>
      <c r="G35" t="s">
        <v>13</v>
      </c>
      <c r="H35" t="s">
        <v>14</v>
      </c>
      <c r="I35" t="s">
        <v>18</v>
      </c>
    </row>
    <row r="36" spans="1:9" x14ac:dyDescent="0.35">
      <c r="A36">
        <v>35</v>
      </c>
      <c r="B36">
        <v>14</v>
      </c>
      <c r="C36">
        <v>1</v>
      </c>
      <c r="D36" s="1">
        <v>42005</v>
      </c>
      <c r="E36">
        <v>12</v>
      </c>
      <c r="F36">
        <v>12</v>
      </c>
      <c r="G36" t="s">
        <v>22</v>
      </c>
      <c r="H36" t="s">
        <v>10</v>
      </c>
      <c r="I36" t="s">
        <v>24</v>
      </c>
    </row>
    <row r="37" spans="1:9" x14ac:dyDescent="0.35">
      <c r="A37">
        <v>36</v>
      </c>
      <c r="B37">
        <v>15</v>
      </c>
      <c r="C37">
        <v>1</v>
      </c>
      <c r="D37" s="1">
        <v>42005</v>
      </c>
      <c r="E37">
        <v>12</v>
      </c>
      <c r="F37">
        <v>12</v>
      </c>
      <c r="G37" t="s">
        <v>22</v>
      </c>
      <c r="H37" t="s">
        <v>10</v>
      </c>
      <c r="I37" t="s">
        <v>35</v>
      </c>
    </row>
    <row r="38" spans="1:9" x14ac:dyDescent="0.35">
      <c r="A38">
        <v>37</v>
      </c>
      <c r="B38">
        <v>15</v>
      </c>
      <c r="C38">
        <v>1</v>
      </c>
      <c r="D38" s="1">
        <v>42005</v>
      </c>
      <c r="E38">
        <v>18.5</v>
      </c>
      <c r="F38">
        <v>18.5</v>
      </c>
      <c r="G38" t="s">
        <v>13</v>
      </c>
      <c r="H38" t="s">
        <v>14</v>
      </c>
      <c r="I38" t="s">
        <v>15</v>
      </c>
    </row>
    <row r="39" spans="1:9" x14ac:dyDescent="0.35">
      <c r="A39">
        <v>38</v>
      </c>
      <c r="B39">
        <v>15</v>
      </c>
      <c r="C39">
        <v>1</v>
      </c>
      <c r="D39" s="1">
        <v>42005</v>
      </c>
      <c r="E39">
        <v>20.75</v>
      </c>
      <c r="F39">
        <v>20.75</v>
      </c>
      <c r="G39" t="s">
        <v>13</v>
      </c>
      <c r="H39" t="s">
        <v>16</v>
      </c>
      <c r="I39" t="s">
        <v>36</v>
      </c>
    </row>
    <row r="40" spans="1:9" x14ac:dyDescent="0.35">
      <c r="A40">
        <v>39</v>
      </c>
      <c r="B40">
        <v>15</v>
      </c>
      <c r="C40">
        <v>1</v>
      </c>
      <c r="D40" s="1">
        <v>42005</v>
      </c>
      <c r="E40">
        <v>12</v>
      </c>
      <c r="F40">
        <v>12</v>
      </c>
      <c r="G40" t="s">
        <v>22</v>
      </c>
      <c r="H40" t="s">
        <v>10</v>
      </c>
      <c r="I40" t="s">
        <v>24</v>
      </c>
    </row>
    <row r="41" spans="1:9" x14ac:dyDescent="0.35">
      <c r="A41">
        <v>40</v>
      </c>
      <c r="B41">
        <v>16</v>
      </c>
      <c r="C41">
        <v>1</v>
      </c>
      <c r="D41" s="1">
        <v>42005</v>
      </c>
      <c r="E41">
        <v>17.95</v>
      </c>
      <c r="F41">
        <v>17.95</v>
      </c>
      <c r="G41" t="s">
        <v>13</v>
      </c>
      <c r="H41" t="s">
        <v>14</v>
      </c>
      <c r="I41" t="s">
        <v>37</v>
      </c>
    </row>
    <row r="42" spans="1:9" x14ac:dyDescent="0.35">
      <c r="A42">
        <v>41</v>
      </c>
      <c r="B42">
        <v>16</v>
      </c>
      <c r="C42">
        <v>1</v>
      </c>
      <c r="D42" s="1">
        <v>42005</v>
      </c>
      <c r="E42">
        <v>12</v>
      </c>
      <c r="F42">
        <v>12</v>
      </c>
      <c r="G42" t="s">
        <v>22</v>
      </c>
      <c r="H42" t="s">
        <v>10</v>
      </c>
      <c r="I42" t="s">
        <v>38</v>
      </c>
    </row>
    <row r="43" spans="1:9" x14ac:dyDescent="0.35">
      <c r="A43">
        <v>42</v>
      </c>
      <c r="B43">
        <v>16</v>
      </c>
      <c r="C43">
        <v>1</v>
      </c>
      <c r="D43" s="1">
        <v>42005</v>
      </c>
      <c r="E43">
        <v>20.75</v>
      </c>
      <c r="F43">
        <v>20.75</v>
      </c>
      <c r="G43" t="s">
        <v>13</v>
      </c>
      <c r="H43" t="s">
        <v>19</v>
      </c>
      <c r="I43" t="s">
        <v>20</v>
      </c>
    </row>
    <row r="44" spans="1:9" x14ac:dyDescent="0.35">
      <c r="A44">
        <v>43</v>
      </c>
      <c r="B44">
        <v>17</v>
      </c>
      <c r="C44">
        <v>1</v>
      </c>
      <c r="D44" s="1">
        <v>42005</v>
      </c>
      <c r="E44">
        <v>20.75</v>
      </c>
      <c r="F44">
        <v>20.75</v>
      </c>
      <c r="G44" t="s">
        <v>13</v>
      </c>
      <c r="H44" t="s">
        <v>19</v>
      </c>
      <c r="I44" t="s">
        <v>23</v>
      </c>
    </row>
    <row r="45" spans="1:9" x14ac:dyDescent="0.35">
      <c r="A45">
        <v>44</v>
      </c>
      <c r="B45">
        <v>17</v>
      </c>
      <c r="C45">
        <v>1</v>
      </c>
      <c r="D45" s="1">
        <v>42005</v>
      </c>
      <c r="E45">
        <v>16.25</v>
      </c>
      <c r="F45">
        <v>16.25</v>
      </c>
      <c r="G45" t="s">
        <v>9</v>
      </c>
      <c r="H45" t="s">
        <v>16</v>
      </c>
      <c r="I45" t="s">
        <v>39</v>
      </c>
    </row>
    <row r="46" spans="1:9" x14ac:dyDescent="0.35">
      <c r="A46">
        <v>45</v>
      </c>
      <c r="B46">
        <v>17</v>
      </c>
      <c r="C46">
        <v>1</v>
      </c>
      <c r="D46" s="1">
        <v>42005</v>
      </c>
      <c r="E46">
        <v>18.5</v>
      </c>
      <c r="F46">
        <v>18.5</v>
      </c>
      <c r="G46" t="s">
        <v>13</v>
      </c>
      <c r="H46" t="s">
        <v>14</v>
      </c>
      <c r="I46" t="s">
        <v>15</v>
      </c>
    </row>
    <row r="47" spans="1:9" x14ac:dyDescent="0.35">
      <c r="A47">
        <v>46</v>
      </c>
      <c r="B47">
        <v>17</v>
      </c>
      <c r="C47">
        <v>1</v>
      </c>
      <c r="D47" s="1">
        <v>42005</v>
      </c>
      <c r="E47">
        <v>14.75</v>
      </c>
      <c r="F47">
        <v>14.75</v>
      </c>
      <c r="G47" t="s">
        <v>9</v>
      </c>
      <c r="H47" t="s">
        <v>14</v>
      </c>
      <c r="I47" t="s">
        <v>37</v>
      </c>
    </row>
    <row r="48" spans="1:9" x14ac:dyDescent="0.35">
      <c r="A48">
        <v>47</v>
      </c>
      <c r="B48">
        <v>17</v>
      </c>
      <c r="C48">
        <v>1</v>
      </c>
      <c r="D48" s="1">
        <v>42005</v>
      </c>
      <c r="E48">
        <v>16.5</v>
      </c>
      <c r="F48">
        <v>16.5</v>
      </c>
      <c r="G48" t="s">
        <v>9</v>
      </c>
      <c r="H48" t="s">
        <v>16</v>
      </c>
      <c r="I48" t="s">
        <v>17</v>
      </c>
    </row>
    <row r="49" spans="1:9" x14ac:dyDescent="0.35">
      <c r="A49">
        <v>48</v>
      </c>
      <c r="B49">
        <v>17</v>
      </c>
      <c r="C49">
        <v>1</v>
      </c>
      <c r="D49" s="1">
        <v>42005</v>
      </c>
      <c r="E49">
        <v>12.75</v>
      </c>
      <c r="F49">
        <v>12.75</v>
      </c>
      <c r="G49" t="s">
        <v>22</v>
      </c>
      <c r="H49" t="s">
        <v>14</v>
      </c>
      <c r="I49" t="s">
        <v>40</v>
      </c>
    </row>
    <row r="50" spans="1:9" x14ac:dyDescent="0.35">
      <c r="A50">
        <v>49</v>
      </c>
      <c r="B50">
        <v>17</v>
      </c>
      <c r="C50">
        <v>2</v>
      </c>
      <c r="D50" s="1">
        <v>42005</v>
      </c>
      <c r="E50">
        <v>16</v>
      </c>
      <c r="F50">
        <v>32</v>
      </c>
      <c r="G50" t="s">
        <v>9</v>
      </c>
      <c r="H50" t="s">
        <v>14</v>
      </c>
      <c r="I50" t="s">
        <v>41</v>
      </c>
    </row>
    <row r="51" spans="1:9" x14ac:dyDescent="0.35">
      <c r="A51">
        <v>50</v>
      </c>
      <c r="B51">
        <v>17</v>
      </c>
      <c r="C51">
        <v>1</v>
      </c>
      <c r="D51" s="1">
        <v>42005</v>
      </c>
      <c r="E51">
        <v>20.25</v>
      </c>
      <c r="F51">
        <v>20.25</v>
      </c>
      <c r="G51" t="s">
        <v>13</v>
      </c>
      <c r="H51" t="s">
        <v>14</v>
      </c>
      <c r="I51" t="s">
        <v>18</v>
      </c>
    </row>
    <row r="52" spans="1:9" x14ac:dyDescent="0.35">
      <c r="A52">
        <v>51</v>
      </c>
      <c r="B52">
        <v>17</v>
      </c>
      <c r="C52">
        <v>1</v>
      </c>
      <c r="D52" s="1">
        <v>42005</v>
      </c>
      <c r="E52">
        <v>12.5</v>
      </c>
      <c r="F52">
        <v>12.5</v>
      </c>
      <c r="G52" t="s">
        <v>22</v>
      </c>
      <c r="H52" t="s">
        <v>16</v>
      </c>
      <c r="I52" t="s">
        <v>42</v>
      </c>
    </row>
    <row r="53" spans="1:9" x14ac:dyDescent="0.35">
      <c r="A53">
        <v>52</v>
      </c>
      <c r="B53">
        <v>17</v>
      </c>
      <c r="C53">
        <v>1</v>
      </c>
      <c r="D53" s="1">
        <v>42005</v>
      </c>
      <c r="E53">
        <v>20.25</v>
      </c>
      <c r="F53">
        <v>20.25</v>
      </c>
      <c r="G53" t="s">
        <v>13</v>
      </c>
      <c r="H53" t="s">
        <v>14</v>
      </c>
      <c r="I53" t="s">
        <v>43</v>
      </c>
    </row>
    <row r="54" spans="1:9" x14ac:dyDescent="0.35">
      <c r="A54">
        <v>53</v>
      </c>
      <c r="B54">
        <v>18</v>
      </c>
      <c r="C54">
        <v>1</v>
      </c>
      <c r="D54" s="1">
        <v>42005</v>
      </c>
      <c r="E54">
        <v>20.5</v>
      </c>
      <c r="F54">
        <v>20.5</v>
      </c>
      <c r="G54" t="s">
        <v>13</v>
      </c>
      <c r="H54" t="s">
        <v>10</v>
      </c>
      <c r="I54" t="s">
        <v>38</v>
      </c>
    </row>
    <row r="55" spans="1:9" x14ac:dyDescent="0.35">
      <c r="A55">
        <v>54</v>
      </c>
      <c r="B55">
        <v>19</v>
      </c>
      <c r="C55">
        <v>1</v>
      </c>
      <c r="D55" s="1">
        <v>42005</v>
      </c>
      <c r="E55">
        <v>20.5</v>
      </c>
      <c r="F55">
        <v>20.5</v>
      </c>
      <c r="G55" t="s">
        <v>13</v>
      </c>
      <c r="H55" t="s">
        <v>10</v>
      </c>
      <c r="I55" t="s">
        <v>27</v>
      </c>
    </row>
    <row r="56" spans="1:9" x14ac:dyDescent="0.35">
      <c r="A56">
        <v>55</v>
      </c>
      <c r="B56">
        <v>19</v>
      </c>
      <c r="C56">
        <v>1</v>
      </c>
      <c r="D56" s="1">
        <v>42005</v>
      </c>
      <c r="E56">
        <v>20.25</v>
      </c>
      <c r="F56">
        <v>20.25</v>
      </c>
      <c r="G56" t="s">
        <v>13</v>
      </c>
      <c r="H56" t="s">
        <v>16</v>
      </c>
      <c r="I56" t="s">
        <v>44</v>
      </c>
    </row>
    <row r="57" spans="1:9" x14ac:dyDescent="0.35">
      <c r="A57">
        <v>56</v>
      </c>
      <c r="B57">
        <v>20</v>
      </c>
      <c r="C57">
        <v>1</v>
      </c>
      <c r="D57" s="1">
        <v>42005</v>
      </c>
      <c r="E57">
        <v>12</v>
      </c>
      <c r="F57">
        <v>12</v>
      </c>
      <c r="G57" t="s">
        <v>22</v>
      </c>
      <c r="H57" t="s">
        <v>10</v>
      </c>
      <c r="I57" t="s">
        <v>35</v>
      </c>
    </row>
    <row r="58" spans="1:9" x14ac:dyDescent="0.35">
      <c r="A58">
        <v>57</v>
      </c>
      <c r="B58">
        <v>20</v>
      </c>
      <c r="C58">
        <v>1</v>
      </c>
      <c r="D58" s="1">
        <v>42005</v>
      </c>
      <c r="E58">
        <v>18.5</v>
      </c>
      <c r="F58">
        <v>18.5</v>
      </c>
      <c r="G58" t="s">
        <v>13</v>
      </c>
      <c r="H58" t="s">
        <v>14</v>
      </c>
      <c r="I58" t="s">
        <v>15</v>
      </c>
    </row>
    <row r="59" spans="1:9" x14ac:dyDescent="0.35">
      <c r="A59">
        <v>58</v>
      </c>
      <c r="B59">
        <v>21</v>
      </c>
      <c r="C59">
        <v>1</v>
      </c>
      <c r="D59" s="1">
        <v>42005</v>
      </c>
      <c r="E59">
        <v>20.5</v>
      </c>
      <c r="F59">
        <v>20.5</v>
      </c>
      <c r="G59" t="s">
        <v>13</v>
      </c>
      <c r="H59" t="s">
        <v>10</v>
      </c>
      <c r="I59" t="s">
        <v>27</v>
      </c>
    </row>
    <row r="60" spans="1:9" x14ac:dyDescent="0.35">
      <c r="A60">
        <v>59</v>
      </c>
      <c r="B60">
        <v>22</v>
      </c>
      <c r="C60">
        <v>1</v>
      </c>
      <c r="D60" s="1">
        <v>42005</v>
      </c>
      <c r="E60">
        <v>18.5</v>
      </c>
      <c r="F60">
        <v>18.5</v>
      </c>
      <c r="G60" t="s">
        <v>13</v>
      </c>
      <c r="H60" t="s">
        <v>14</v>
      </c>
      <c r="I60" t="s">
        <v>15</v>
      </c>
    </row>
    <row r="61" spans="1:9" x14ac:dyDescent="0.35">
      <c r="A61">
        <v>60</v>
      </c>
      <c r="B61">
        <v>22</v>
      </c>
      <c r="C61">
        <v>1</v>
      </c>
      <c r="D61" s="1">
        <v>42005</v>
      </c>
      <c r="E61">
        <v>16</v>
      </c>
      <c r="F61">
        <v>16</v>
      </c>
      <c r="G61" t="s">
        <v>9</v>
      </c>
      <c r="H61" t="s">
        <v>10</v>
      </c>
      <c r="I61" t="s">
        <v>27</v>
      </c>
    </row>
    <row r="62" spans="1:9" x14ac:dyDescent="0.35">
      <c r="A62">
        <v>61</v>
      </c>
      <c r="B62">
        <v>22</v>
      </c>
      <c r="C62">
        <v>1</v>
      </c>
      <c r="D62" s="1">
        <v>42005</v>
      </c>
      <c r="E62">
        <v>20.75</v>
      </c>
      <c r="F62">
        <v>20.75</v>
      </c>
      <c r="G62" t="s">
        <v>13</v>
      </c>
      <c r="H62" t="s">
        <v>19</v>
      </c>
      <c r="I62" t="s">
        <v>31</v>
      </c>
    </row>
    <row r="63" spans="1:9" x14ac:dyDescent="0.35">
      <c r="A63">
        <v>62</v>
      </c>
      <c r="B63">
        <v>23</v>
      </c>
      <c r="C63">
        <v>1</v>
      </c>
      <c r="D63" s="1">
        <v>42005</v>
      </c>
      <c r="E63">
        <v>12.75</v>
      </c>
      <c r="F63">
        <v>12.75</v>
      </c>
      <c r="G63" t="s">
        <v>22</v>
      </c>
      <c r="H63" t="s">
        <v>19</v>
      </c>
      <c r="I63" t="s">
        <v>31</v>
      </c>
    </row>
    <row r="64" spans="1:9" x14ac:dyDescent="0.35">
      <c r="A64">
        <v>63</v>
      </c>
      <c r="B64">
        <v>24</v>
      </c>
      <c r="C64">
        <v>1</v>
      </c>
      <c r="D64" s="1">
        <v>42005</v>
      </c>
      <c r="E64">
        <v>16.75</v>
      </c>
      <c r="F64">
        <v>16.75</v>
      </c>
      <c r="G64" t="s">
        <v>9</v>
      </c>
      <c r="H64" t="s">
        <v>19</v>
      </c>
      <c r="I64" t="s">
        <v>23</v>
      </c>
    </row>
    <row r="65" spans="1:9" x14ac:dyDescent="0.35">
      <c r="A65">
        <v>64</v>
      </c>
      <c r="B65">
        <v>24</v>
      </c>
      <c r="C65">
        <v>1</v>
      </c>
      <c r="D65" s="1">
        <v>42005</v>
      </c>
      <c r="E65">
        <v>16</v>
      </c>
      <c r="F65">
        <v>16</v>
      </c>
      <c r="G65" t="s">
        <v>9</v>
      </c>
      <c r="H65" t="s">
        <v>10</v>
      </c>
      <c r="I65" t="s">
        <v>27</v>
      </c>
    </row>
    <row r="66" spans="1:9" x14ac:dyDescent="0.35">
      <c r="A66">
        <v>65</v>
      </c>
      <c r="B66">
        <v>24</v>
      </c>
      <c r="C66">
        <v>1</v>
      </c>
      <c r="D66" s="1">
        <v>42005</v>
      </c>
      <c r="E66">
        <v>12.5</v>
      </c>
      <c r="F66">
        <v>12.5</v>
      </c>
      <c r="G66" t="s">
        <v>9</v>
      </c>
      <c r="H66" t="s">
        <v>10</v>
      </c>
      <c r="I66" t="s">
        <v>33</v>
      </c>
    </row>
    <row r="67" spans="1:9" x14ac:dyDescent="0.35">
      <c r="A67">
        <v>66</v>
      </c>
      <c r="B67">
        <v>24</v>
      </c>
      <c r="C67">
        <v>1</v>
      </c>
      <c r="D67" s="1">
        <v>42005</v>
      </c>
      <c r="E67">
        <v>12.5</v>
      </c>
      <c r="F67">
        <v>12.5</v>
      </c>
      <c r="G67" t="s">
        <v>22</v>
      </c>
      <c r="H67" t="s">
        <v>16</v>
      </c>
      <c r="I67" t="s">
        <v>21</v>
      </c>
    </row>
    <row r="68" spans="1:9" x14ac:dyDescent="0.35">
      <c r="A68">
        <v>67</v>
      </c>
      <c r="B68">
        <v>25</v>
      </c>
      <c r="C68">
        <v>1</v>
      </c>
      <c r="D68" s="1">
        <v>42005</v>
      </c>
      <c r="E68">
        <v>16.25</v>
      </c>
      <c r="F68">
        <v>16.25</v>
      </c>
      <c r="G68" t="s">
        <v>9</v>
      </c>
      <c r="H68" t="s">
        <v>16</v>
      </c>
      <c r="I68" t="s">
        <v>44</v>
      </c>
    </row>
    <row r="69" spans="1:9" x14ac:dyDescent="0.35">
      <c r="A69">
        <v>68</v>
      </c>
      <c r="B69">
        <v>25</v>
      </c>
      <c r="C69">
        <v>1</v>
      </c>
      <c r="D69" s="1">
        <v>42005</v>
      </c>
      <c r="E69">
        <v>20.75</v>
      </c>
      <c r="F69">
        <v>20.75</v>
      </c>
      <c r="G69" t="s">
        <v>13</v>
      </c>
      <c r="H69" t="s">
        <v>19</v>
      </c>
      <c r="I69" t="s">
        <v>20</v>
      </c>
    </row>
    <row r="70" spans="1:9" x14ac:dyDescent="0.35">
      <c r="A70">
        <v>69</v>
      </c>
      <c r="B70">
        <v>26</v>
      </c>
      <c r="C70">
        <v>1</v>
      </c>
      <c r="D70" s="1">
        <v>42005</v>
      </c>
      <c r="E70">
        <v>12</v>
      </c>
      <c r="F70">
        <v>12</v>
      </c>
      <c r="G70" t="s">
        <v>22</v>
      </c>
      <c r="H70" t="s">
        <v>10</v>
      </c>
      <c r="I70" t="s">
        <v>12</v>
      </c>
    </row>
    <row r="71" spans="1:9" x14ac:dyDescent="0.35">
      <c r="A71">
        <v>70</v>
      </c>
      <c r="B71">
        <v>26</v>
      </c>
      <c r="C71">
        <v>1</v>
      </c>
      <c r="D71" s="1">
        <v>42005</v>
      </c>
      <c r="E71">
        <v>20.25</v>
      </c>
      <c r="F71">
        <v>20.25</v>
      </c>
      <c r="G71" t="s">
        <v>13</v>
      </c>
      <c r="H71" t="s">
        <v>14</v>
      </c>
      <c r="I71" t="s">
        <v>30</v>
      </c>
    </row>
    <row r="72" spans="1:9" x14ac:dyDescent="0.35">
      <c r="A72">
        <v>71</v>
      </c>
      <c r="B72">
        <v>27</v>
      </c>
      <c r="C72">
        <v>1</v>
      </c>
      <c r="D72" s="1">
        <v>42005</v>
      </c>
      <c r="E72">
        <v>20.75</v>
      </c>
      <c r="F72">
        <v>20.75</v>
      </c>
      <c r="G72" t="s">
        <v>13</v>
      </c>
      <c r="H72" t="s">
        <v>19</v>
      </c>
      <c r="I72" t="s">
        <v>23</v>
      </c>
    </row>
    <row r="73" spans="1:9" x14ac:dyDescent="0.35">
      <c r="A73">
        <v>72</v>
      </c>
      <c r="B73">
        <v>27</v>
      </c>
      <c r="C73">
        <v>1</v>
      </c>
      <c r="D73" s="1">
        <v>42005</v>
      </c>
      <c r="E73">
        <v>16</v>
      </c>
      <c r="F73">
        <v>16</v>
      </c>
      <c r="G73" t="s">
        <v>9</v>
      </c>
      <c r="H73" t="s">
        <v>10</v>
      </c>
      <c r="I73" t="s">
        <v>12</v>
      </c>
    </row>
    <row r="74" spans="1:9" x14ac:dyDescent="0.35">
      <c r="A74">
        <v>73</v>
      </c>
      <c r="B74">
        <v>27</v>
      </c>
      <c r="C74">
        <v>1</v>
      </c>
      <c r="D74" s="1">
        <v>42005</v>
      </c>
      <c r="E74">
        <v>20.25</v>
      </c>
      <c r="F74">
        <v>20.25</v>
      </c>
      <c r="G74" t="s">
        <v>13</v>
      </c>
      <c r="H74" t="s">
        <v>14</v>
      </c>
      <c r="I74" t="s">
        <v>43</v>
      </c>
    </row>
    <row r="75" spans="1:9" x14ac:dyDescent="0.35">
      <c r="A75">
        <v>74</v>
      </c>
      <c r="B75">
        <v>28</v>
      </c>
      <c r="C75">
        <v>1</v>
      </c>
      <c r="D75" s="1">
        <v>42005</v>
      </c>
      <c r="E75">
        <v>12.75</v>
      </c>
      <c r="F75">
        <v>12.75</v>
      </c>
      <c r="G75" t="s">
        <v>22</v>
      </c>
      <c r="H75" t="s">
        <v>19</v>
      </c>
      <c r="I75" t="s">
        <v>45</v>
      </c>
    </row>
    <row r="76" spans="1:9" x14ac:dyDescent="0.35">
      <c r="A76">
        <v>75</v>
      </c>
      <c r="B76">
        <v>29</v>
      </c>
      <c r="C76">
        <v>1</v>
      </c>
      <c r="D76" s="1">
        <v>42005</v>
      </c>
      <c r="E76">
        <v>12</v>
      </c>
      <c r="F76">
        <v>12</v>
      </c>
      <c r="G76" t="s">
        <v>22</v>
      </c>
      <c r="H76" t="s">
        <v>14</v>
      </c>
      <c r="I76" t="s">
        <v>26</v>
      </c>
    </row>
    <row r="77" spans="1:9" x14ac:dyDescent="0.35">
      <c r="A77">
        <v>76</v>
      </c>
      <c r="B77">
        <v>30</v>
      </c>
      <c r="C77">
        <v>1</v>
      </c>
      <c r="D77" s="1">
        <v>42005</v>
      </c>
      <c r="E77">
        <v>20.75</v>
      </c>
      <c r="F77">
        <v>20.75</v>
      </c>
      <c r="G77" t="s">
        <v>13</v>
      </c>
      <c r="H77" t="s">
        <v>19</v>
      </c>
      <c r="I77" t="s">
        <v>20</v>
      </c>
    </row>
    <row r="78" spans="1:9" x14ac:dyDescent="0.35">
      <c r="A78">
        <v>77</v>
      </c>
      <c r="B78">
        <v>31</v>
      </c>
      <c r="C78">
        <v>1</v>
      </c>
      <c r="D78" s="1">
        <v>42005</v>
      </c>
      <c r="E78">
        <v>16</v>
      </c>
      <c r="F78">
        <v>16</v>
      </c>
      <c r="G78" t="s">
        <v>9</v>
      </c>
      <c r="H78" t="s">
        <v>14</v>
      </c>
      <c r="I78" t="s">
        <v>18</v>
      </c>
    </row>
    <row r="79" spans="1:9" x14ac:dyDescent="0.35">
      <c r="A79">
        <v>78</v>
      </c>
      <c r="B79">
        <v>31</v>
      </c>
      <c r="C79">
        <v>1</v>
      </c>
      <c r="D79" s="1">
        <v>42005</v>
      </c>
      <c r="E79">
        <v>9.75</v>
      </c>
      <c r="F79">
        <v>9.75</v>
      </c>
      <c r="G79" t="s">
        <v>22</v>
      </c>
      <c r="H79" t="s">
        <v>10</v>
      </c>
      <c r="I79" t="s">
        <v>33</v>
      </c>
    </row>
    <row r="80" spans="1:9" x14ac:dyDescent="0.35">
      <c r="A80">
        <v>79</v>
      </c>
      <c r="B80">
        <v>32</v>
      </c>
      <c r="C80">
        <v>1</v>
      </c>
      <c r="D80" s="1">
        <v>42005</v>
      </c>
      <c r="E80">
        <v>12</v>
      </c>
      <c r="F80">
        <v>12</v>
      </c>
      <c r="G80" t="s">
        <v>22</v>
      </c>
      <c r="H80" t="s">
        <v>10</v>
      </c>
      <c r="I80" t="s">
        <v>35</v>
      </c>
    </row>
    <row r="81" spans="1:9" x14ac:dyDescent="0.35">
      <c r="A81">
        <v>80</v>
      </c>
      <c r="B81">
        <v>32</v>
      </c>
      <c r="C81">
        <v>1</v>
      </c>
      <c r="D81" s="1">
        <v>42005</v>
      </c>
      <c r="E81">
        <v>20.25</v>
      </c>
      <c r="F81">
        <v>20.25</v>
      </c>
      <c r="G81" t="s">
        <v>13</v>
      </c>
      <c r="H81" t="s">
        <v>14</v>
      </c>
      <c r="I81" t="s">
        <v>26</v>
      </c>
    </row>
    <row r="82" spans="1:9" x14ac:dyDescent="0.35">
      <c r="A82">
        <v>81</v>
      </c>
      <c r="B82">
        <v>32</v>
      </c>
      <c r="C82">
        <v>1</v>
      </c>
      <c r="D82" s="1">
        <v>42005</v>
      </c>
      <c r="E82">
        <v>20.5</v>
      </c>
      <c r="F82">
        <v>20.5</v>
      </c>
      <c r="G82" t="s">
        <v>13</v>
      </c>
      <c r="H82" t="s">
        <v>10</v>
      </c>
      <c r="I82" t="s">
        <v>27</v>
      </c>
    </row>
    <row r="83" spans="1:9" x14ac:dyDescent="0.35">
      <c r="A83">
        <v>82</v>
      </c>
      <c r="B83">
        <v>32</v>
      </c>
      <c r="C83">
        <v>1</v>
      </c>
      <c r="D83" s="1">
        <v>42005</v>
      </c>
      <c r="E83">
        <v>16.5</v>
      </c>
      <c r="F83">
        <v>16.5</v>
      </c>
      <c r="G83" t="s">
        <v>9</v>
      </c>
      <c r="H83" t="s">
        <v>16</v>
      </c>
      <c r="I83" t="s">
        <v>17</v>
      </c>
    </row>
    <row r="84" spans="1:9" x14ac:dyDescent="0.35">
      <c r="A84">
        <v>83</v>
      </c>
      <c r="B84">
        <v>33</v>
      </c>
      <c r="C84">
        <v>1</v>
      </c>
      <c r="D84" s="1">
        <v>42005</v>
      </c>
      <c r="E84">
        <v>20.75</v>
      </c>
      <c r="F84">
        <v>20.75</v>
      </c>
      <c r="G84" t="s">
        <v>13</v>
      </c>
      <c r="H84" t="s">
        <v>19</v>
      </c>
      <c r="I84" t="s">
        <v>23</v>
      </c>
    </row>
    <row r="85" spans="1:9" x14ac:dyDescent="0.35">
      <c r="A85">
        <v>84</v>
      </c>
      <c r="B85">
        <v>33</v>
      </c>
      <c r="C85">
        <v>1</v>
      </c>
      <c r="D85" s="1">
        <v>42005</v>
      </c>
      <c r="E85">
        <v>12</v>
      </c>
      <c r="F85">
        <v>12</v>
      </c>
      <c r="G85" t="s">
        <v>22</v>
      </c>
      <c r="H85" t="s">
        <v>14</v>
      </c>
      <c r="I85" t="s">
        <v>26</v>
      </c>
    </row>
    <row r="86" spans="1:9" x14ac:dyDescent="0.35">
      <c r="A86">
        <v>85</v>
      </c>
      <c r="B86">
        <v>34</v>
      </c>
      <c r="C86">
        <v>1</v>
      </c>
      <c r="D86" s="1">
        <v>42005</v>
      </c>
      <c r="E86">
        <v>12</v>
      </c>
      <c r="F86">
        <v>12</v>
      </c>
      <c r="G86" t="s">
        <v>22</v>
      </c>
      <c r="H86" t="s">
        <v>10</v>
      </c>
      <c r="I86" t="s">
        <v>24</v>
      </c>
    </row>
    <row r="87" spans="1:9" x14ac:dyDescent="0.35">
      <c r="A87">
        <v>86</v>
      </c>
      <c r="B87">
        <v>35</v>
      </c>
      <c r="C87">
        <v>1</v>
      </c>
      <c r="D87" s="1">
        <v>42005</v>
      </c>
      <c r="E87">
        <v>16</v>
      </c>
      <c r="F87">
        <v>16</v>
      </c>
      <c r="G87" t="s">
        <v>9</v>
      </c>
      <c r="H87" t="s">
        <v>14</v>
      </c>
      <c r="I87" t="s">
        <v>26</v>
      </c>
    </row>
    <row r="88" spans="1:9" x14ac:dyDescent="0.35">
      <c r="A88">
        <v>87</v>
      </c>
      <c r="B88">
        <v>35</v>
      </c>
      <c r="C88">
        <v>1</v>
      </c>
      <c r="D88" s="1">
        <v>42005</v>
      </c>
      <c r="E88">
        <v>17.5</v>
      </c>
      <c r="F88">
        <v>17.5</v>
      </c>
      <c r="G88" t="s">
        <v>13</v>
      </c>
      <c r="H88" t="s">
        <v>10</v>
      </c>
      <c r="I88" t="s">
        <v>46</v>
      </c>
    </row>
    <row r="89" spans="1:9" x14ac:dyDescent="0.35">
      <c r="A89">
        <v>88</v>
      </c>
      <c r="B89">
        <v>35</v>
      </c>
      <c r="C89">
        <v>1</v>
      </c>
      <c r="D89" s="1">
        <v>42005</v>
      </c>
      <c r="E89">
        <v>12.5</v>
      </c>
      <c r="F89">
        <v>12.5</v>
      </c>
      <c r="G89" t="s">
        <v>9</v>
      </c>
      <c r="H89" t="s">
        <v>10</v>
      </c>
      <c r="I89" t="s">
        <v>33</v>
      </c>
    </row>
    <row r="90" spans="1:9" x14ac:dyDescent="0.35">
      <c r="A90">
        <v>89</v>
      </c>
      <c r="B90">
        <v>35</v>
      </c>
      <c r="C90">
        <v>1</v>
      </c>
      <c r="D90" s="1">
        <v>42005</v>
      </c>
      <c r="E90">
        <v>20.75</v>
      </c>
      <c r="F90">
        <v>20.75</v>
      </c>
      <c r="G90" t="s">
        <v>13</v>
      </c>
      <c r="H90" t="s">
        <v>19</v>
      </c>
      <c r="I90" t="s">
        <v>20</v>
      </c>
    </row>
    <row r="91" spans="1:9" x14ac:dyDescent="0.35">
      <c r="A91">
        <v>90</v>
      </c>
      <c r="B91">
        <v>36</v>
      </c>
      <c r="C91">
        <v>1</v>
      </c>
      <c r="D91" s="1">
        <v>42005</v>
      </c>
      <c r="E91">
        <v>16.75</v>
      </c>
      <c r="F91">
        <v>16.75</v>
      </c>
      <c r="G91" t="s">
        <v>9</v>
      </c>
      <c r="H91" t="s">
        <v>19</v>
      </c>
      <c r="I91" t="s">
        <v>23</v>
      </c>
    </row>
    <row r="92" spans="1:9" x14ac:dyDescent="0.35">
      <c r="A92">
        <v>91</v>
      </c>
      <c r="B92">
        <v>36</v>
      </c>
      <c r="C92">
        <v>1</v>
      </c>
      <c r="D92" s="1">
        <v>42005</v>
      </c>
      <c r="E92">
        <v>16</v>
      </c>
      <c r="F92">
        <v>16</v>
      </c>
      <c r="G92" t="s">
        <v>9</v>
      </c>
      <c r="H92" t="s">
        <v>10</v>
      </c>
      <c r="I92" t="s">
        <v>12</v>
      </c>
    </row>
    <row r="93" spans="1:9" x14ac:dyDescent="0.35">
      <c r="A93">
        <v>92</v>
      </c>
      <c r="B93">
        <v>37</v>
      </c>
      <c r="C93">
        <v>1</v>
      </c>
      <c r="D93" s="1">
        <v>42005</v>
      </c>
      <c r="E93">
        <v>20.75</v>
      </c>
      <c r="F93">
        <v>20.75</v>
      </c>
      <c r="G93" t="s">
        <v>13</v>
      </c>
      <c r="H93" t="s">
        <v>16</v>
      </c>
      <c r="I93" t="s">
        <v>17</v>
      </c>
    </row>
    <row r="94" spans="1:9" x14ac:dyDescent="0.35">
      <c r="A94">
        <v>93</v>
      </c>
      <c r="B94">
        <v>37</v>
      </c>
      <c r="C94">
        <v>1</v>
      </c>
      <c r="D94" s="1">
        <v>42005</v>
      </c>
      <c r="E94">
        <v>20.25</v>
      </c>
      <c r="F94">
        <v>20.25</v>
      </c>
      <c r="G94" t="s">
        <v>13</v>
      </c>
      <c r="H94" t="s">
        <v>14</v>
      </c>
      <c r="I94" t="s">
        <v>18</v>
      </c>
    </row>
    <row r="95" spans="1:9" x14ac:dyDescent="0.35">
      <c r="A95">
        <v>94</v>
      </c>
      <c r="B95">
        <v>38</v>
      </c>
      <c r="C95">
        <v>1</v>
      </c>
      <c r="D95" s="1">
        <v>42005</v>
      </c>
      <c r="E95">
        <v>10.5</v>
      </c>
      <c r="F95">
        <v>10.5</v>
      </c>
      <c r="G95" t="s">
        <v>22</v>
      </c>
      <c r="H95" t="s">
        <v>10</v>
      </c>
      <c r="I95" t="s">
        <v>11</v>
      </c>
    </row>
    <row r="96" spans="1:9" x14ac:dyDescent="0.35">
      <c r="A96">
        <v>95</v>
      </c>
      <c r="B96">
        <v>38</v>
      </c>
      <c r="C96">
        <v>1</v>
      </c>
      <c r="D96" s="1">
        <v>42005</v>
      </c>
      <c r="E96">
        <v>20.5</v>
      </c>
      <c r="F96">
        <v>20.5</v>
      </c>
      <c r="G96" t="s">
        <v>13</v>
      </c>
      <c r="H96" t="s">
        <v>10</v>
      </c>
      <c r="I96" t="s">
        <v>27</v>
      </c>
    </row>
    <row r="97" spans="1:9" x14ac:dyDescent="0.35">
      <c r="A97">
        <v>96</v>
      </c>
      <c r="B97">
        <v>39</v>
      </c>
      <c r="C97">
        <v>1</v>
      </c>
      <c r="D97" s="1">
        <v>42005</v>
      </c>
      <c r="E97">
        <v>20.75</v>
      </c>
      <c r="F97">
        <v>20.75</v>
      </c>
      <c r="G97" t="s">
        <v>13</v>
      </c>
      <c r="H97" t="s">
        <v>16</v>
      </c>
      <c r="I97" t="s">
        <v>17</v>
      </c>
    </row>
    <row r="98" spans="1:9" x14ac:dyDescent="0.35">
      <c r="A98">
        <v>97</v>
      </c>
      <c r="B98">
        <v>40</v>
      </c>
      <c r="C98">
        <v>1</v>
      </c>
      <c r="D98" s="1">
        <v>42005</v>
      </c>
      <c r="E98">
        <v>17.95</v>
      </c>
      <c r="F98">
        <v>17.95</v>
      </c>
      <c r="G98" t="s">
        <v>13</v>
      </c>
      <c r="H98" t="s">
        <v>14</v>
      </c>
      <c r="I98" t="s">
        <v>37</v>
      </c>
    </row>
    <row r="99" spans="1:9" x14ac:dyDescent="0.35">
      <c r="A99">
        <v>98</v>
      </c>
      <c r="B99">
        <v>40</v>
      </c>
      <c r="C99">
        <v>1</v>
      </c>
      <c r="D99" s="1">
        <v>42005</v>
      </c>
      <c r="E99">
        <v>12.75</v>
      </c>
      <c r="F99">
        <v>12.75</v>
      </c>
      <c r="G99" t="s">
        <v>22</v>
      </c>
      <c r="H99" t="s">
        <v>19</v>
      </c>
      <c r="I99" t="s">
        <v>31</v>
      </c>
    </row>
    <row r="100" spans="1:9" x14ac:dyDescent="0.35">
      <c r="A100">
        <v>99</v>
      </c>
      <c r="B100">
        <v>41</v>
      </c>
      <c r="C100">
        <v>1</v>
      </c>
      <c r="D100" s="1">
        <v>42005</v>
      </c>
      <c r="E100">
        <v>14.75</v>
      </c>
      <c r="F100">
        <v>14.75</v>
      </c>
      <c r="G100" t="s">
        <v>9</v>
      </c>
      <c r="H100" t="s">
        <v>14</v>
      </c>
      <c r="I100" t="s">
        <v>37</v>
      </c>
    </row>
    <row r="101" spans="1:9" x14ac:dyDescent="0.35">
      <c r="A101">
        <v>100</v>
      </c>
      <c r="B101">
        <v>41</v>
      </c>
      <c r="C101">
        <v>1</v>
      </c>
      <c r="D101" s="1">
        <v>42005</v>
      </c>
      <c r="E101">
        <v>12</v>
      </c>
      <c r="F101">
        <v>12</v>
      </c>
      <c r="G101" t="s">
        <v>22</v>
      </c>
      <c r="H101" t="s">
        <v>14</v>
      </c>
      <c r="I101" t="s">
        <v>26</v>
      </c>
    </row>
    <row r="102" spans="1:9" x14ac:dyDescent="0.35">
      <c r="A102">
        <v>101</v>
      </c>
      <c r="B102">
        <v>42</v>
      </c>
      <c r="C102">
        <v>1</v>
      </c>
      <c r="D102" s="1">
        <v>42005</v>
      </c>
      <c r="E102">
        <v>12</v>
      </c>
      <c r="F102">
        <v>12</v>
      </c>
      <c r="G102" t="s">
        <v>22</v>
      </c>
      <c r="H102" t="s">
        <v>10</v>
      </c>
      <c r="I102" t="s">
        <v>35</v>
      </c>
    </row>
    <row r="103" spans="1:9" x14ac:dyDescent="0.35">
      <c r="A103">
        <v>102</v>
      </c>
      <c r="B103">
        <v>42</v>
      </c>
      <c r="C103">
        <v>1</v>
      </c>
      <c r="D103" s="1">
        <v>42005</v>
      </c>
      <c r="E103">
        <v>18.5</v>
      </c>
      <c r="F103">
        <v>18.5</v>
      </c>
      <c r="G103" t="s">
        <v>13</v>
      </c>
      <c r="H103" t="s">
        <v>14</v>
      </c>
      <c r="I103" t="s">
        <v>15</v>
      </c>
    </row>
    <row r="104" spans="1:9" x14ac:dyDescent="0.35">
      <c r="A104">
        <v>103</v>
      </c>
      <c r="B104">
        <v>42</v>
      </c>
      <c r="C104">
        <v>1</v>
      </c>
      <c r="D104" s="1">
        <v>42005</v>
      </c>
      <c r="E104">
        <v>20.25</v>
      </c>
      <c r="F104">
        <v>20.25</v>
      </c>
      <c r="G104" t="s">
        <v>13</v>
      </c>
      <c r="H104" t="s">
        <v>14</v>
      </c>
      <c r="I104" t="s">
        <v>18</v>
      </c>
    </row>
    <row r="105" spans="1:9" x14ac:dyDescent="0.35">
      <c r="A105">
        <v>104</v>
      </c>
      <c r="B105">
        <v>42</v>
      </c>
      <c r="C105">
        <v>1</v>
      </c>
      <c r="D105" s="1">
        <v>42005</v>
      </c>
      <c r="E105">
        <v>16.5</v>
      </c>
      <c r="F105">
        <v>16.5</v>
      </c>
      <c r="G105" t="s">
        <v>9</v>
      </c>
      <c r="H105" t="s">
        <v>16</v>
      </c>
      <c r="I105" t="s">
        <v>42</v>
      </c>
    </row>
    <row r="106" spans="1:9" x14ac:dyDescent="0.35">
      <c r="A106">
        <v>105</v>
      </c>
      <c r="B106">
        <v>43</v>
      </c>
      <c r="C106">
        <v>1</v>
      </c>
      <c r="D106" s="1">
        <v>42005</v>
      </c>
      <c r="E106">
        <v>16.75</v>
      </c>
      <c r="F106">
        <v>16.75</v>
      </c>
      <c r="G106" t="s">
        <v>9</v>
      </c>
      <c r="H106" t="s">
        <v>19</v>
      </c>
      <c r="I106" t="s">
        <v>45</v>
      </c>
    </row>
    <row r="107" spans="1:9" x14ac:dyDescent="0.35">
      <c r="A107">
        <v>106</v>
      </c>
      <c r="B107">
        <v>43</v>
      </c>
      <c r="C107">
        <v>1</v>
      </c>
      <c r="D107" s="1">
        <v>42005</v>
      </c>
      <c r="E107">
        <v>16.5</v>
      </c>
      <c r="F107">
        <v>16.5</v>
      </c>
      <c r="G107" t="s">
        <v>9</v>
      </c>
      <c r="H107" t="s">
        <v>16</v>
      </c>
      <c r="I107" t="s">
        <v>17</v>
      </c>
    </row>
    <row r="108" spans="1:9" x14ac:dyDescent="0.35">
      <c r="A108">
        <v>107</v>
      </c>
      <c r="B108">
        <v>43</v>
      </c>
      <c r="C108">
        <v>1</v>
      </c>
      <c r="D108" s="1">
        <v>42005</v>
      </c>
      <c r="E108">
        <v>20.75</v>
      </c>
      <c r="F108">
        <v>20.75</v>
      </c>
      <c r="G108" t="s">
        <v>13</v>
      </c>
      <c r="H108" t="s">
        <v>16</v>
      </c>
      <c r="I108" t="s">
        <v>42</v>
      </c>
    </row>
    <row r="109" spans="1:9" x14ac:dyDescent="0.35">
      <c r="A109">
        <v>108</v>
      </c>
      <c r="B109">
        <v>44</v>
      </c>
      <c r="C109">
        <v>1</v>
      </c>
      <c r="D109" s="1">
        <v>42005</v>
      </c>
      <c r="E109">
        <v>12.5</v>
      </c>
      <c r="F109">
        <v>12.5</v>
      </c>
      <c r="G109" t="s">
        <v>22</v>
      </c>
      <c r="H109" t="s">
        <v>14</v>
      </c>
      <c r="I109" t="s">
        <v>29</v>
      </c>
    </row>
    <row r="110" spans="1:9" x14ac:dyDescent="0.35">
      <c r="A110">
        <v>109</v>
      </c>
      <c r="B110">
        <v>45</v>
      </c>
      <c r="C110">
        <v>1</v>
      </c>
      <c r="D110" s="1">
        <v>42005</v>
      </c>
      <c r="E110">
        <v>17.95</v>
      </c>
      <c r="F110">
        <v>17.95</v>
      </c>
      <c r="G110" t="s">
        <v>13</v>
      </c>
      <c r="H110" t="s">
        <v>14</v>
      </c>
      <c r="I110" t="s">
        <v>37</v>
      </c>
    </row>
    <row r="111" spans="1:9" x14ac:dyDescent="0.35">
      <c r="A111">
        <v>110</v>
      </c>
      <c r="B111">
        <v>45</v>
      </c>
      <c r="C111">
        <v>1</v>
      </c>
      <c r="D111" s="1">
        <v>42005</v>
      </c>
      <c r="E111">
        <v>10.5</v>
      </c>
      <c r="F111">
        <v>10.5</v>
      </c>
      <c r="G111" t="s">
        <v>22</v>
      </c>
      <c r="H111" t="s">
        <v>10</v>
      </c>
      <c r="I111" t="s">
        <v>11</v>
      </c>
    </row>
    <row r="112" spans="1:9" x14ac:dyDescent="0.35">
      <c r="A112">
        <v>111</v>
      </c>
      <c r="B112">
        <v>45</v>
      </c>
      <c r="C112">
        <v>1</v>
      </c>
      <c r="D112" s="1">
        <v>42005</v>
      </c>
      <c r="E112">
        <v>16.75</v>
      </c>
      <c r="F112">
        <v>16.75</v>
      </c>
      <c r="G112" t="s">
        <v>9</v>
      </c>
      <c r="H112" t="s">
        <v>19</v>
      </c>
      <c r="I112" t="s">
        <v>20</v>
      </c>
    </row>
    <row r="113" spans="1:9" x14ac:dyDescent="0.35">
      <c r="A113">
        <v>112</v>
      </c>
      <c r="B113">
        <v>46</v>
      </c>
      <c r="C113">
        <v>1</v>
      </c>
      <c r="D113" s="1">
        <v>42005</v>
      </c>
      <c r="E113">
        <v>20.75</v>
      </c>
      <c r="F113">
        <v>20.75</v>
      </c>
      <c r="G113" t="s">
        <v>13</v>
      </c>
      <c r="H113" t="s">
        <v>19</v>
      </c>
      <c r="I113" t="s">
        <v>34</v>
      </c>
    </row>
    <row r="114" spans="1:9" x14ac:dyDescent="0.35">
      <c r="A114">
        <v>113</v>
      </c>
      <c r="B114">
        <v>46</v>
      </c>
      <c r="C114">
        <v>1</v>
      </c>
      <c r="D114" s="1">
        <v>42005</v>
      </c>
      <c r="E114">
        <v>20.5</v>
      </c>
      <c r="F114">
        <v>20.5</v>
      </c>
      <c r="G114" t="s">
        <v>13</v>
      </c>
      <c r="H114" t="s">
        <v>10</v>
      </c>
      <c r="I114" t="s">
        <v>12</v>
      </c>
    </row>
    <row r="115" spans="1:9" x14ac:dyDescent="0.35">
      <c r="A115">
        <v>114</v>
      </c>
      <c r="B115">
        <v>46</v>
      </c>
      <c r="C115">
        <v>1</v>
      </c>
      <c r="D115" s="1">
        <v>42005</v>
      </c>
      <c r="E115">
        <v>16.75</v>
      </c>
      <c r="F115">
        <v>16.75</v>
      </c>
      <c r="G115" t="s">
        <v>9</v>
      </c>
      <c r="H115" t="s">
        <v>19</v>
      </c>
      <c r="I115" t="s">
        <v>20</v>
      </c>
    </row>
    <row r="116" spans="1:9" x14ac:dyDescent="0.35">
      <c r="A116">
        <v>115</v>
      </c>
      <c r="B116">
        <v>47</v>
      </c>
      <c r="C116">
        <v>1</v>
      </c>
      <c r="D116" s="1">
        <v>42005</v>
      </c>
      <c r="E116">
        <v>20.75</v>
      </c>
      <c r="F116">
        <v>20.75</v>
      </c>
      <c r="G116" t="s">
        <v>13</v>
      </c>
      <c r="H116" t="s">
        <v>19</v>
      </c>
      <c r="I116" t="s">
        <v>31</v>
      </c>
    </row>
    <row r="117" spans="1:9" x14ac:dyDescent="0.35">
      <c r="A117">
        <v>116</v>
      </c>
      <c r="B117">
        <v>47</v>
      </c>
      <c r="C117">
        <v>1</v>
      </c>
      <c r="D117" s="1">
        <v>42005</v>
      </c>
      <c r="E117">
        <v>12</v>
      </c>
      <c r="F117">
        <v>12</v>
      </c>
      <c r="G117" t="s">
        <v>22</v>
      </c>
      <c r="H117" t="s">
        <v>14</v>
      </c>
      <c r="I117" t="s">
        <v>30</v>
      </c>
    </row>
    <row r="118" spans="1:9" x14ac:dyDescent="0.35">
      <c r="A118">
        <v>117</v>
      </c>
      <c r="B118">
        <v>48</v>
      </c>
      <c r="C118">
        <v>1</v>
      </c>
      <c r="D118" s="1">
        <v>42005</v>
      </c>
      <c r="E118">
        <v>16.75</v>
      </c>
      <c r="F118">
        <v>16.75</v>
      </c>
      <c r="G118" t="s">
        <v>9</v>
      </c>
      <c r="H118" t="s">
        <v>19</v>
      </c>
      <c r="I118" t="s">
        <v>34</v>
      </c>
    </row>
    <row r="119" spans="1:9" x14ac:dyDescent="0.35">
      <c r="A119">
        <v>118</v>
      </c>
      <c r="B119">
        <v>48</v>
      </c>
      <c r="C119">
        <v>1</v>
      </c>
      <c r="D119" s="1">
        <v>42005</v>
      </c>
      <c r="E119">
        <v>12</v>
      </c>
      <c r="F119">
        <v>12</v>
      </c>
      <c r="G119" t="s">
        <v>22</v>
      </c>
      <c r="H119" t="s">
        <v>14</v>
      </c>
      <c r="I119" t="s">
        <v>26</v>
      </c>
    </row>
    <row r="120" spans="1:9" x14ac:dyDescent="0.35">
      <c r="A120">
        <v>119</v>
      </c>
      <c r="B120">
        <v>48</v>
      </c>
      <c r="C120">
        <v>1</v>
      </c>
      <c r="D120" s="1">
        <v>42005</v>
      </c>
      <c r="E120">
        <v>20.75</v>
      </c>
      <c r="F120">
        <v>20.75</v>
      </c>
      <c r="G120" t="s">
        <v>13</v>
      </c>
      <c r="H120" t="s">
        <v>16</v>
      </c>
      <c r="I120" t="s">
        <v>21</v>
      </c>
    </row>
    <row r="121" spans="1:9" x14ac:dyDescent="0.35">
      <c r="A121">
        <v>120</v>
      </c>
      <c r="B121">
        <v>48</v>
      </c>
      <c r="C121">
        <v>1</v>
      </c>
      <c r="D121" s="1">
        <v>42005</v>
      </c>
      <c r="E121">
        <v>20.75</v>
      </c>
      <c r="F121">
        <v>20.75</v>
      </c>
      <c r="G121" t="s">
        <v>13</v>
      </c>
      <c r="H121" t="s">
        <v>16</v>
      </c>
      <c r="I121" t="s">
        <v>28</v>
      </c>
    </row>
    <row r="122" spans="1:9" x14ac:dyDescent="0.35">
      <c r="A122">
        <v>121</v>
      </c>
      <c r="B122">
        <v>49</v>
      </c>
      <c r="C122">
        <v>1</v>
      </c>
      <c r="D122" s="1">
        <v>42005</v>
      </c>
      <c r="E122">
        <v>20.25</v>
      </c>
      <c r="F122">
        <v>20.25</v>
      </c>
      <c r="G122" t="s">
        <v>13</v>
      </c>
      <c r="H122" t="s">
        <v>16</v>
      </c>
      <c r="I122" t="s">
        <v>44</v>
      </c>
    </row>
    <row r="123" spans="1:9" x14ac:dyDescent="0.35">
      <c r="A123">
        <v>122</v>
      </c>
      <c r="B123">
        <v>50</v>
      </c>
      <c r="C123">
        <v>1</v>
      </c>
      <c r="D123" s="1">
        <v>42005</v>
      </c>
      <c r="E123">
        <v>25.5</v>
      </c>
      <c r="F123">
        <v>25.5</v>
      </c>
      <c r="G123" t="s">
        <v>47</v>
      </c>
      <c r="H123" t="s">
        <v>10</v>
      </c>
      <c r="I123" t="s">
        <v>24</v>
      </c>
    </row>
    <row r="124" spans="1:9" x14ac:dyDescent="0.35">
      <c r="A124">
        <v>123</v>
      </c>
      <c r="B124">
        <v>51</v>
      </c>
      <c r="C124">
        <v>1</v>
      </c>
      <c r="D124" s="1">
        <v>42005</v>
      </c>
      <c r="E124">
        <v>20.75</v>
      </c>
      <c r="F124">
        <v>20.75</v>
      </c>
      <c r="G124" t="s">
        <v>13</v>
      </c>
      <c r="H124" t="s">
        <v>19</v>
      </c>
      <c r="I124" t="s">
        <v>23</v>
      </c>
    </row>
    <row r="125" spans="1:9" x14ac:dyDescent="0.35">
      <c r="A125">
        <v>124</v>
      </c>
      <c r="B125">
        <v>51</v>
      </c>
      <c r="C125">
        <v>1</v>
      </c>
      <c r="D125" s="1">
        <v>42005</v>
      </c>
      <c r="E125">
        <v>17.5</v>
      </c>
      <c r="F125">
        <v>17.5</v>
      </c>
      <c r="G125" t="s">
        <v>13</v>
      </c>
      <c r="H125" t="s">
        <v>10</v>
      </c>
      <c r="I125" t="s">
        <v>46</v>
      </c>
    </row>
    <row r="126" spans="1:9" x14ac:dyDescent="0.35">
      <c r="A126">
        <v>125</v>
      </c>
      <c r="B126">
        <v>52</v>
      </c>
      <c r="C126">
        <v>1</v>
      </c>
      <c r="D126" s="1">
        <v>42005</v>
      </c>
      <c r="E126">
        <v>16.5</v>
      </c>
      <c r="F126">
        <v>16.5</v>
      </c>
      <c r="G126" t="s">
        <v>13</v>
      </c>
      <c r="H126" t="s">
        <v>10</v>
      </c>
      <c r="I126" t="s">
        <v>11</v>
      </c>
    </row>
    <row r="127" spans="1:9" x14ac:dyDescent="0.35">
      <c r="A127">
        <v>126</v>
      </c>
      <c r="B127">
        <v>52</v>
      </c>
      <c r="C127">
        <v>1</v>
      </c>
      <c r="D127" s="1">
        <v>42005</v>
      </c>
      <c r="E127">
        <v>20.25</v>
      </c>
      <c r="F127">
        <v>20.25</v>
      </c>
      <c r="G127" t="s">
        <v>13</v>
      </c>
      <c r="H127" t="s">
        <v>14</v>
      </c>
      <c r="I127" t="s">
        <v>18</v>
      </c>
    </row>
    <row r="128" spans="1:9" x14ac:dyDescent="0.35">
      <c r="A128">
        <v>127</v>
      </c>
      <c r="B128">
        <v>52</v>
      </c>
      <c r="C128">
        <v>1</v>
      </c>
      <c r="D128" s="1">
        <v>42005</v>
      </c>
      <c r="E128">
        <v>20.75</v>
      </c>
      <c r="F128">
        <v>20.75</v>
      </c>
      <c r="G128" t="s">
        <v>13</v>
      </c>
      <c r="H128" t="s">
        <v>16</v>
      </c>
      <c r="I128" t="s">
        <v>28</v>
      </c>
    </row>
    <row r="129" spans="1:9" x14ac:dyDescent="0.35">
      <c r="A129">
        <v>128</v>
      </c>
      <c r="B129">
        <v>53</v>
      </c>
      <c r="C129">
        <v>1</v>
      </c>
      <c r="D129" s="1">
        <v>42005</v>
      </c>
      <c r="E129">
        <v>11</v>
      </c>
      <c r="F129">
        <v>11</v>
      </c>
      <c r="G129" t="s">
        <v>22</v>
      </c>
      <c r="H129" t="s">
        <v>10</v>
      </c>
      <c r="I129" t="s">
        <v>46</v>
      </c>
    </row>
    <row r="130" spans="1:9" x14ac:dyDescent="0.35">
      <c r="A130">
        <v>129</v>
      </c>
      <c r="B130">
        <v>53</v>
      </c>
      <c r="C130">
        <v>1</v>
      </c>
      <c r="D130" s="1">
        <v>42005</v>
      </c>
      <c r="E130">
        <v>16.5</v>
      </c>
      <c r="F130">
        <v>16.5</v>
      </c>
      <c r="G130" t="s">
        <v>9</v>
      </c>
      <c r="H130" t="s">
        <v>16</v>
      </c>
      <c r="I130" t="s">
        <v>25</v>
      </c>
    </row>
    <row r="131" spans="1:9" x14ac:dyDescent="0.35">
      <c r="A131">
        <v>130</v>
      </c>
      <c r="B131">
        <v>54</v>
      </c>
      <c r="C131">
        <v>1</v>
      </c>
      <c r="D131" s="1">
        <v>42005</v>
      </c>
      <c r="E131">
        <v>16.5</v>
      </c>
      <c r="F131">
        <v>16.5</v>
      </c>
      <c r="G131" t="s">
        <v>9</v>
      </c>
      <c r="H131" t="s">
        <v>16</v>
      </c>
      <c r="I131" t="s">
        <v>21</v>
      </c>
    </row>
    <row r="132" spans="1:9" x14ac:dyDescent="0.35">
      <c r="A132">
        <v>131</v>
      </c>
      <c r="B132">
        <v>54</v>
      </c>
      <c r="C132">
        <v>1</v>
      </c>
      <c r="D132" s="1">
        <v>42005</v>
      </c>
      <c r="E132">
        <v>20.75</v>
      </c>
      <c r="F132">
        <v>20.75</v>
      </c>
      <c r="G132" t="s">
        <v>13</v>
      </c>
      <c r="H132" t="s">
        <v>19</v>
      </c>
      <c r="I132" t="s">
        <v>20</v>
      </c>
    </row>
    <row r="133" spans="1:9" x14ac:dyDescent="0.35">
      <c r="A133">
        <v>132</v>
      </c>
      <c r="B133">
        <v>55</v>
      </c>
      <c r="C133">
        <v>1</v>
      </c>
      <c r="D133" s="1">
        <v>42005</v>
      </c>
      <c r="E133">
        <v>12.5</v>
      </c>
      <c r="F133">
        <v>12.5</v>
      </c>
      <c r="G133" t="s">
        <v>22</v>
      </c>
      <c r="H133" t="s">
        <v>16</v>
      </c>
      <c r="I133" t="s">
        <v>42</v>
      </c>
    </row>
    <row r="134" spans="1:9" x14ac:dyDescent="0.35">
      <c r="A134">
        <v>133</v>
      </c>
      <c r="B134">
        <v>55</v>
      </c>
      <c r="C134">
        <v>1</v>
      </c>
      <c r="D134" s="1">
        <v>42005</v>
      </c>
      <c r="E134">
        <v>20.75</v>
      </c>
      <c r="F134">
        <v>20.75</v>
      </c>
      <c r="G134" t="s">
        <v>13</v>
      </c>
      <c r="H134" t="s">
        <v>16</v>
      </c>
      <c r="I134" t="s">
        <v>28</v>
      </c>
    </row>
    <row r="135" spans="1:9" x14ac:dyDescent="0.35">
      <c r="A135">
        <v>134</v>
      </c>
      <c r="B135">
        <v>56</v>
      </c>
      <c r="C135">
        <v>1</v>
      </c>
      <c r="D135" s="1">
        <v>42005</v>
      </c>
      <c r="E135">
        <v>16</v>
      </c>
      <c r="F135">
        <v>16</v>
      </c>
      <c r="G135" t="s">
        <v>9</v>
      </c>
      <c r="H135" t="s">
        <v>10</v>
      </c>
      <c r="I135" t="s">
        <v>12</v>
      </c>
    </row>
    <row r="136" spans="1:9" x14ac:dyDescent="0.35">
      <c r="A136">
        <v>135</v>
      </c>
      <c r="B136">
        <v>56</v>
      </c>
      <c r="C136">
        <v>1</v>
      </c>
      <c r="D136" s="1">
        <v>42005</v>
      </c>
      <c r="E136">
        <v>20.25</v>
      </c>
      <c r="F136">
        <v>20.25</v>
      </c>
      <c r="G136" t="s">
        <v>13</v>
      </c>
      <c r="H136" t="s">
        <v>14</v>
      </c>
      <c r="I136" t="s">
        <v>41</v>
      </c>
    </row>
    <row r="137" spans="1:9" x14ac:dyDescent="0.35">
      <c r="A137">
        <v>136</v>
      </c>
      <c r="B137">
        <v>56</v>
      </c>
      <c r="C137">
        <v>1</v>
      </c>
      <c r="D137" s="1">
        <v>42005</v>
      </c>
      <c r="E137">
        <v>16.75</v>
      </c>
      <c r="F137">
        <v>16.75</v>
      </c>
      <c r="G137" t="s">
        <v>9</v>
      </c>
      <c r="H137" t="s">
        <v>19</v>
      </c>
      <c r="I137" t="s">
        <v>31</v>
      </c>
    </row>
    <row r="138" spans="1:9" x14ac:dyDescent="0.35">
      <c r="A138">
        <v>137</v>
      </c>
      <c r="B138">
        <v>57</v>
      </c>
      <c r="C138">
        <v>1</v>
      </c>
      <c r="D138" s="1">
        <v>42005</v>
      </c>
      <c r="E138">
        <v>16</v>
      </c>
      <c r="F138">
        <v>16</v>
      </c>
      <c r="G138" t="s">
        <v>9</v>
      </c>
      <c r="H138" t="s">
        <v>10</v>
      </c>
      <c r="I138" t="s">
        <v>12</v>
      </c>
    </row>
    <row r="139" spans="1:9" x14ac:dyDescent="0.35">
      <c r="A139">
        <v>138</v>
      </c>
      <c r="B139">
        <v>58</v>
      </c>
      <c r="C139">
        <v>1</v>
      </c>
      <c r="D139" s="1">
        <v>42005</v>
      </c>
      <c r="E139">
        <v>18.5</v>
      </c>
      <c r="F139">
        <v>18.5</v>
      </c>
      <c r="G139" t="s">
        <v>13</v>
      </c>
      <c r="H139" t="s">
        <v>14</v>
      </c>
      <c r="I139" t="s">
        <v>15</v>
      </c>
    </row>
    <row r="140" spans="1:9" x14ac:dyDescent="0.35">
      <c r="A140">
        <v>139</v>
      </c>
      <c r="B140">
        <v>58</v>
      </c>
      <c r="C140">
        <v>1</v>
      </c>
      <c r="D140" s="1">
        <v>42005</v>
      </c>
      <c r="E140">
        <v>12.5</v>
      </c>
      <c r="F140">
        <v>12.5</v>
      </c>
      <c r="G140" t="s">
        <v>9</v>
      </c>
      <c r="H140" t="s">
        <v>10</v>
      </c>
      <c r="I140" t="s">
        <v>33</v>
      </c>
    </row>
    <row r="141" spans="1:9" x14ac:dyDescent="0.35">
      <c r="A141">
        <v>140</v>
      </c>
      <c r="B141">
        <v>59</v>
      </c>
      <c r="C141">
        <v>1</v>
      </c>
      <c r="D141" s="1">
        <v>42005</v>
      </c>
      <c r="E141">
        <v>12.75</v>
      </c>
      <c r="F141">
        <v>12.75</v>
      </c>
      <c r="G141" t="s">
        <v>22</v>
      </c>
      <c r="H141" t="s">
        <v>14</v>
      </c>
      <c r="I141" t="s">
        <v>40</v>
      </c>
    </row>
    <row r="142" spans="1:9" x14ac:dyDescent="0.35">
      <c r="A142">
        <v>141</v>
      </c>
      <c r="B142">
        <v>59</v>
      </c>
      <c r="C142">
        <v>1</v>
      </c>
      <c r="D142" s="1">
        <v>42005</v>
      </c>
      <c r="E142">
        <v>11</v>
      </c>
      <c r="F142">
        <v>11</v>
      </c>
      <c r="G142" t="s">
        <v>22</v>
      </c>
      <c r="H142" t="s">
        <v>10</v>
      </c>
      <c r="I142" t="s">
        <v>46</v>
      </c>
    </row>
    <row r="143" spans="1:9" x14ac:dyDescent="0.35">
      <c r="A143">
        <v>142</v>
      </c>
      <c r="B143">
        <v>59</v>
      </c>
      <c r="C143">
        <v>1</v>
      </c>
      <c r="D143" s="1">
        <v>42005</v>
      </c>
      <c r="E143">
        <v>15.25</v>
      </c>
      <c r="F143">
        <v>15.25</v>
      </c>
      <c r="G143" t="s">
        <v>13</v>
      </c>
      <c r="H143" t="s">
        <v>10</v>
      </c>
      <c r="I143" t="s">
        <v>33</v>
      </c>
    </row>
    <row r="144" spans="1:9" x14ac:dyDescent="0.35">
      <c r="A144">
        <v>143</v>
      </c>
      <c r="B144">
        <v>60</v>
      </c>
      <c r="C144">
        <v>1</v>
      </c>
      <c r="D144" s="1">
        <v>42005</v>
      </c>
      <c r="E144">
        <v>20.75</v>
      </c>
      <c r="F144">
        <v>20.75</v>
      </c>
      <c r="G144" t="s">
        <v>13</v>
      </c>
      <c r="H144" t="s">
        <v>19</v>
      </c>
      <c r="I144" t="s">
        <v>34</v>
      </c>
    </row>
    <row r="145" spans="1:9" x14ac:dyDescent="0.35">
      <c r="A145">
        <v>144</v>
      </c>
      <c r="B145">
        <v>60</v>
      </c>
      <c r="C145">
        <v>1</v>
      </c>
      <c r="D145" s="1">
        <v>42005</v>
      </c>
      <c r="E145">
        <v>14.75</v>
      </c>
      <c r="F145">
        <v>14.75</v>
      </c>
      <c r="G145" t="s">
        <v>9</v>
      </c>
      <c r="H145" t="s">
        <v>14</v>
      </c>
      <c r="I145" t="s">
        <v>37</v>
      </c>
    </row>
    <row r="146" spans="1:9" x14ac:dyDescent="0.35">
      <c r="A146">
        <v>145</v>
      </c>
      <c r="B146">
        <v>61</v>
      </c>
      <c r="C146">
        <v>1</v>
      </c>
      <c r="D146" s="1">
        <v>42005</v>
      </c>
      <c r="E146">
        <v>16.75</v>
      </c>
      <c r="F146">
        <v>16.75</v>
      </c>
      <c r="G146" t="s">
        <v>9</v>
      </c>
      <c r="H146" t="s">
        <v>19</v>
      </c>
      <c r="I146" t="s">
        <v>23</v>
      </c>
    </row>
    <row r="147" spans="1:9" x14ac:dyDescent="0.35">
      <c r="A147">
        <v>146</v>
      </c>
      <c r="B147">
        <v>61</v>
      </c>
      <c r="C147">
        <v>1</v>
      </c>
      <c r="D147" s="1">
        <v>42005</v>
      </c>
      <c r="E147">
        <v>20.75</v>
      </c>
      <c r="F147">
        <v>20.75</v>
      </c>
      <c r="G147" t="s">
        <v>13</v>
      </c>
      <c r="H147" t="s">
        <v>16</v>
      </c>
      <c r="I147" t="s">
        <v>17</v>
      </c>
    </row>
    <row r="148" spans="1:9" x14ac:dyDescent="0.35">
      <c r="A148">
        <v>147</v>
      </c>
      <c r="B148">
        <v>62</v>
      </c>
      <c r="C148">
        <v>1</v>
      </c>
      <c r="D148" s="1">
        <v>42005</v>
      </c>
      <c r="E148">
        <v>16.75</v>
      </c>
      <c r="F148">
        <v>16.75</v>
      </c>
      <c r="G148" t="s">
        <v>9</v>
      </c>
      <c r="H148" t="s">
        <v>19</v>
      </c>
      <c r="I148" t="s">
        <v>23</v>
      </c>
    </row>
    <row r="149" spans="1:9" x14ac:dyDescent="0.35">
      <c r="A149">
        <v>148</v>
      </c>
      <c r="B149">
        <v>62</v>
      </c>
      <c r="C149">
        <v>1</v>
      </c>
      <c r="D149" s="1">
        <v>42005</v>
      </c>
      <c r="E149">
        <v>16.5</v>
      </c>
      <c r="F149">
        <v>16.5</v>
      </c>
      <c r="G149" t="s">
        <v>9</v>
      </c>
      <c r="H149" t="s">
        <v>16</v>
      </c>
      <c r="I149" t="s">
        <v>25</v>
      </c>
    </row>
    <row r="150" spans="1:9" x14ac:dyDescent="0.35">
      <c r="A150">
        <v>149</v>
      </c>
      <c r="B150">
        <v>63</v>
      </c>
      <c r="C150">
        <v>1</v>
      </c>
      <c r="D150" s="1">
        <v>42005</v>
      </c>
      <c r="E150">
        <v>14.5</v>
      </c>
      <c r="F150">
        <v>14.5</v>
      </c>
      <c r="G150" t="s">
        <v>9</v>
      </c>
      <c r="H150" t="s">
        <v>10</v>
      </c>
      <c r="I150" t="s">
        <v>46</v>
      </c>
    </row>
    <row r="151" spans="1:9" x14ac:dyDescent="0.35">
      <c r="A151">
        <v>150</v>
      </c>
      <c r="B151">
        <v>64</v>
      </c>
      <c r="C151">
        <v>1</v>
      </c>
      <c r="D151" s="1">
        <v>42005</v>
      </c>
      <c r="E151">
        <v>12</v>
      </c>
      <c r="F151">
        <v>12</v>
      </c>
      <c r="G151" t="s">
        <v>22</v>
      </c>
      <c r="H151" t="s">
        <v>10</v>
      </c>
      <c r="I151" t="s">
        <v>35</v>
      </c>
    </row>
    <row r="152" spans="1:9" x14ac:dyDescent="0.35">
      <c r="A152">
        <v>151</v>
      </c>
      <c r="B152">
        <v>65</v>
      </c>
      <c r="C152">
        <v>1</v>
      </c>
      <c r="D152" s="1">
        <v>42005</v>
      </c>
      <c r="E152">
        <v>11</v>
      </c>
      <c r="F152">
        <v>11</v>
      </c>
      <c r="G152" t="s">
        <v>22</v>
      </c>
      <c r="H152" t="s">
        <v>10</v>
      </c>
      <c r="I152" t="s">
        <v>46</v>
      </c>
    </row>
    <row r="153" spans="1:9" x14ac:dyDescent="0.35">
      <c r="A153">
        <v>152</v>
      </c>
      <c r="B153">
        <v>65</v>
      </c>
      <c r="C153">
        <v>1</v>
      </c>
      <c r="D153" s="1">
        <v>42005</v>
      </c>
      <c r="E153">
        <v>12.25</v>
      </c>
      <c r="F153">
        <v>12.25</v>
      </c>
      <c r="G153" t="s">
        <v>22</v>
      </c>
      <c r="H153" t="s">
        <v>16</v>
      </c>
      <c r="I153" t="s">
        <v>44</v>
      </c>
    </row>
    <row r="154" spans="1:9" x14ac:dyDescent="0.35">
      <c r="A154">
        <v>153</v>
      </c>
      <c r="B154">
        <v>65</v>
      </c>
      <c r="C154">
        <v>1</v>
      </c>
      <c r="D154" s="1">
        <v>42005</v>
      </c>
      <c r="E154">
        <v>12.5</v>
      </c>
      <c r="F154">
        <v>12.5</v>
      </c>
      <c r="G154" t="s">
        <v>22</v>
      </c>
      <c r="H154" t="s">
        <v>16</v>
      </c>
      <c r="I154" t="s">
        <v>28</v>
      </c>
    </row>
    <row r="155" spans="1:9" x14ac:dyDescent="0.35">
      <c r="A155">
        <v>154</v>
      </c>
      <c r="B155">
        <v>65</v>
      </c>
      <c r="C155">
        <v>1</v>
      </c>
      <c r="D155" s="1">
        <v>42005</v>
      </c>
      <c r="E155">
        <v>16.5</v>
      </c>
      <c r="F155">
        <v>16.5</v>
      </c>
      <c r="G155" t="s">
        <v>9</v>
      </c>
      <c r="H155" t="s">
        <v>16</v>
      </c>
      <c r="I155" t="s">
        <v>25</v>
      </c>
    </row>
    <row r="156" spans="1:9" x14ac:dyDescent="0.35">
      <c r="A156">
        <v>155</v>
      </c>
      <c r="B156">
        <v>66</v>
      </c>
      <c r="C156">
        <v>1</v>
      </c>
      <c r="D156" s="1">
        <v>42005</v>
      </c>
      <c r="E156">
        <v>16</v>
      </c>
      <c r="F156">
        <v>16</v>
      </c>
      <c r="G156" t="s">
        <v>9</v>
      </c>
      <c r="H156" t="s">
        <v>10</v>
      </c>
      <c r="I156" t="s">
        <v>12</v>
      </c>
    </row>
    <row r="157" spans="1:9" x14ac:dyDescent="0.35">
      <c r="A157">
        <v>156</v>
      </c>
      <c r="B157">
        <v>66</v>
      </c>
      <c r="C157">
        <v>1</v>
      </c>
      <c r="D157" s="1">
        <v>42005</v>
      </c>
      <c r="E157">
        <v>16</v>
      </c>
      <c r="F157">
        <v>16</v>
      </c>
      <c r="G157" t="s">
        <v>9</v>
      </c>
      <c r="H157" t="s">
        <v>10</v>
      </c>
      <c r="I157" t="s">
        <v>27</v>
      </c>
    </row>
    <row r="158" spans="1:9" x14ac:dyDescent="0.35">
      <c r="A158">
        <v>157</v>
      </c>
      <c r="B158">
        <v>67</v>
      </c>
      <c r="C158">
        <v>1</v>
      </c>
      <c r="D158" s="1">
        <v>42005</v>
      </c>
      <c r="E158">
        <v>20.75</v>
      </c>
      <c r="F158">
        <v>20.75</v>
      </c>
      <c r="G158" t="s">
        <v>13</v>
      </c>
      <c r="H158" t="s">
        <v>19</v>
      </c>
      <c r="I158" t="s">
        <v>31</v>
      </c>
    </row>
    <row r="159" spans="1:9" x14ac:dyDescent="0.35">
      <c r="A159">
        <v>158</v>
      </c>
      <c r="B159">
        <v>68</v>
      </c>
      <c r="C159">
        <v>1</v>
      </c>
      <c r="D159" s="1">
        <v>42005</v>
      </c>
      <c r="E159">
        <v>16</v>
      </c>
      <c r="F159">
        <v>16</v>
      </c>
      <c r="G159" t="s">
        <v>9</v>
      </c>
      <c r="H159" t="s">
        <v>10</v>
      </c>
      <c r="I159" t="s">
        <v>12</v>
      </c>
    </row>
    <row r="160" spans="1:9" x14ac:dyDescent="0.35">
      <c r="A160">
        <v>159</v>
      </c>
      <c r="B160">
        <v>68</v>
      </c>
      <c r="C160">
        <v>1</v>
      </c>
      <c r="D160" s="1">
        <v>42005</v>
      </c>
      <c r="E160">
        <v>20.75</v>
      </c>
      <c r="F160">
        <v>20.75</v>
      </c>
      <c r="G160" t="s">
        <v>13</v>
      </c>
      <c r="H160" t="s">
        <v>16</v>
      </c>
      <c r="I160" t="s">
        <v>17</v>
      </c>
    </row>
    <row r="161" spans="1:9" x14ac:dyDescent="0.35">
      <c r="A161">
        <v>160</v>
      </c>
      <c r="B161">
        <v>68</v>
      </c>
      <c r="C161">
        <v>1</v>
      </c>
      <c r="D161" s="1">
        <v>42005</v>
      </c>
      <c r="E161">
        <v>16.5</v>
      </c>
      <c r="F161">
        <v>16.5</v>
      </c>
      <c r="G161" t="s">
        <v>9</v>
      </c>
      <c r="H161" t="s">
        <v>16</v>
      </c>
      <c r="I161" t="s">
        <v>17</v>
      </c>
    </row>
    <row r="162" spans="1:9" x14ac:dyDescent="0.35">
      <c r="A162">
        <v>161</v>
      </c>
      <c r="B162">
        <v>69</v>
      </c>
      <c r="C162">
        <v>1</v>
      </c>
      <c r="D162" s="1">
        <v>42005</v>
      </c>
      <c r="E162">
        <v>20.75</v>
      </c>
      <c r="F162">
        <v>20.75</v>
      </c>
      <c r="G162" t="s">
        <v>13</v>
      </c>
      <c r="H162" t="s">
        <v>19</v>
      </c>
      <c r="I162" t="s">
        <v>23</v>
      </c>
    </row>
    <row r="163" spans="1:9" x14ac:dyDescent="0.35">
      <c r="A163">
        <v>162</v>
      </c>
      <c r="B163">
        <v>70</v>
      </c>
      <c r="C163">
        <v>1</v>
      </c>
      <c r="D163" s="1">
        <v>42036</v>
      </c>
      <c r="E163">
        <v>12.75</v>
      </c>
      <c r="F163">
        <v>12.75</v>
      </c>
      <c r="G163" t="s">
        <v>22</v>
      </c>
      <c r="H163" t="s">
        <v>14</v>
      </c>
      <c r="I163" t="s">
        <v>40</v>
      </c>
    </row>
    <row r="164" spans="1:9" x14ac:dyDescent="0.35">
      <c r="A164">
        <v>163</v>
      </c>
      <c r="B164">
        <v>70</v>
      </c>
      <c r="C164">
        <v>1</v>
      </c>
      <c r="D164" s="1">
        <v>42036</v>
      </c>
      <c r="E164">
        <v>20.75</v>
      </c>
      <c r="F164">
        <v>20.75</v>
      </c>
      <c r="G164" t="s">
        <v>13</v>
      </c>
      <c r="H164" t="s">
        <v>16</v>
      </c>
      <c r="I164" t="s">
        <v>36</v>
      </c>
    </row>
    <row r="165" spans="1:9" x14ac:dyDescent="0.35">
      <c r="A165">
        <v>164</v>
      </c>
      <c r="B165">
        <v>71</v>
      </c>
      <c r="C165">
        <v>1</v>
      </c>
      <c r="D165" s="1">
        <v>42036</v>
      </c>
      <c r="E165">
        <v>20.75</v>
      </c>
      <c r="F165">
        <v>20.75</v>
      </c>
      <c r="G165" t="s">
        <v>13</v>
      </c>
      <c r="H165" t="s">
        <v>19</v>
      </c>
      <c r="I165" t="s">
        <v>20</v>
      </c>
    </row>
    <row r="166" spans="1:9" x14ac:dyDescent="0.35">
      <c r="A166">
        <v>165</v>
      </c>
      <c r="B166">
        <v>72</v>
      </c>
      <c r="C166">
        <v>1</v>
      </c>
      <c r="D166" s="1">
        <v>42036</v>
      </c>
      <c r="E166">
        <v>20.25</v>
      </c>
      <c r="F166">
        <v>20.25</v>
      </c>
      <c r="G166" t="s">
        <v>13</v>
      </c>
      <c r="H166" t="s">
        <v>14</v>
      </c>
      <c r="I166" t="s">
        <v>43</v>
      </c>
    </row>
    <row r="167" spans="1:9" x14ac:dyDescent="0.35">
      <c r="A167">
        <v>166</v>
      </c>
      <c r="B167">
        <v>73</v>
      </c>
      <c r="C167">
        <v>1</v>
      </c>
      <c r="D167" s="1">
        <v>42036</v>
      </c>
      <c r="E167">
        <v>12.75</v>
      </c>
      <c r="F167">
        <v>12.75</v>
      </c>
      <c r="G167" t="s">
        <v>22</v>
      </c>
      <c r="H167" t="s">
        <v>19</v>
      </c>
      <c r="I167" t="s">
        <v>20</v>
      </c>
    </row>
    <row r="168" spans="1:9" x14ac:dyDescent="0.35">
      <c r="A168">
        <v>167</v>
      </c>
      <c r="B168">
        <v>74</v>
      </c>
      <c r="C168">
        <v>1</v>
      </c>
      <c r="D168" s="1">
        <v>42036</v>
      </c>
      <c r="E168">
        <v>18.5</v>
      </c>
      <c r="F168">
        <v>18.5</v>
      </c>
      <c r="G168" t="s">
        <v>13</v>
      </c>
      <c r="H168" t="s">
        <v>14</v>
      </c>
      <c r="I168" t="s">
        <v>15</v>
      </c>
    </row>
    <row r="169" spans="1:9" x14ac:dyDescent="0.35">
      <c r="A169">
        <v>168</v>
      </c>
      <c r="B169">
        <v>74</v>
      </c>
      <c r="C169">
        <v>1</v>
      </c>
      <c r="D169" s="1">
        <v>42036</v>
      </c>
      <c r="E169">
        <v>20.25</v>
      </c>
      <c r="F169">
        <v>20.25</v>
      </c>
      <c r="G169" t="s">
        <v>13</v>
      </c>
      <c r="H169" t="s">
        <v>14</v>
      </c>
      <c r="I169" t="s">
        <v>18</v>
      </c>
    </row>
    <row r="170" spans="1:9" x14ac:dyDescent="0.35">
      <c r="A170">
        <v>169</v>
      </c>
      <c r="B170">
        <v>74</v>
      </c>
      <c r="C170">
        <v>1</v>
      </c>
      <c r="D170" s="1">
        <v>42036</v>
      </c>
      <c r="E170">
        <v>12.5</v>
      </c>
      <c r="F170">
        <v>12.5</v>
      </c>
      <c r="G170" t="s">
        <v>22</v>
      </c>
      <c r="H170" t="s">
        <v>14</v>
      </c>
      <c r="I170" t="s">
        <v>29</v>
      </c>
    </row>
    <row r="171" spans="1:9" x14ac:dyDescent="0.35">
      <c r="A171">
        <v>170</v>
      </c>
      <c r="B171">
        <v>74</v>
      </c>
      <c r="C171">
        <v>1</v>
      </c>
      <c r="D171" s="1">
        <v>42036</v>
      </c>
      <c r="E171">
        <v>20.75</v>
      </c>
      <c r="F171">
        <v>20.75</v>
      </c>
      <c r="G171" t="s">
        <v>13</v>
      </c>
      <c r="H171" t="s">
        <v>16</v>
      </c>
      <c r="I171" t="s">
        <v>25</v>
      </c>
    </row>
    <row r="172" spans="1:9" x14ac:dyDescent="0.35">
      <c r="A172">
        <v>171</v>
      </c>
      <c r="B172">
        <v>75</v>
      </c>
      <c r="C172">
        <v>1</v>
      </c>
      <c r="D172" s="1">
        <v>42036</v>
      </c>
      <c r="E172">
        <v>12.5</v>
      </c>
      <c r="F172">
        <v>12.5</v>
      </c>
      <c r="G172" t="s">
        <v>22</v>
      </c>
      <c r="H172" t="s">
        <v>16</v>
      </c>
      <c r="I172" t="s">
        <v>17</v>
      </c>
    </row>
    <row r="173" spans="1:9" x14ac:dyDescent="0.35">
      <c r="A173">
        <v>172</v>
      </c>
      <c r="B173">
        <v>75</v>
      </c>
      <c r="C173">
        <v>1</v>
      </c>
      <c r="D173" s="1">
        <v>42036</v>
      </c>
      <c r="E173">
        <v>20.25</v>
      </c>
      <c r="F173">
        <v>20.25</v>
      </c>
      <c r="G173" t="s">
        <v>13</v>
      </c>
      <c r="H173" t="s">
        <v>14</v>
      </c>
      <c r="I173" t="s">
        <v>41</v>
      </c>
    </row>
    <row r="174" spans="1:9" x14ac:dyDescent="0.35">
      <c r="A174">
        <v>173</v>
      </c>
      <c r="B174">
        <v>75</v>
      </c>
      <c r="C174">
        <v>1</v>
      </c>
      <c r="D174" s="1">
        <v>42036</v>
      </c>
      <c r="E174">
        <v>20.5</v>
      </c>
      <c r="F174">
        <v>20.5</v>
      </c>
      <c r="G174" t="s">
        <v>13</v>
      </c>
      <c r="H174" t="s">
        <v>10</v>
      </c>
      <c r="I174" t="s">
        <v>38</v>
      </c>
    </row>
    <row r="175" spans="1:9" x14ac:dyDescent="0.35">
      <c r="A175">
        <v>174</v>
      </c>
      <c r="B175">
        <v>76</v>
      </c>
      <c r="C175">
        <v>1</v>
      </c>
      <c r="D175" s="1">
        <v>42036</v>
      </c>
      <c r="E175">
        <v>12</v>
      </c>
      <c r="F175">
        <v>12</v>
      </c>
      <c r="G175" t="s">
        <v>22</v>
      </c>
      <c r="H175" t="s">
        <v>10</v>
      </c>
      <c r="I175" t="s">
        <v>35</v>
      </c>
    </row>
    <row r="176" spans="1:9" x14ac:dyDescent="0.35">
      <c r="A176">
        <v>175</v>
      </c>
      <c r="B176">
        <v>76</v>
      </c>
      <c r="C176">
        <v>1</v>
      </c>
      <c r="D176" s="1">
        <v>42036</v>
      </c>
      <c r="E176">
        <v>16.5</v>
      </c>
      <c r="F176">
        <v>16.5</v>
      </c>
      <c r="G176" t="s">
        <v>13</v>
      </c>
      <c r="H176" t="s">
        <v>10</v>
      </c>
      <c r="I176" t="s">
        <v>11</v>
      </c>
    </row>
    <row r="177" spans="1:9" x14ac:dyDescent="0.35">
      <c r="A177">
        <v>176</v>
      </c>
      <c r="B177">
        <v>76</v>
      </c>
      <c r="C177">
        <v>1</v>
      </c>
      <c r="D177" s="1">
        <v>42036</v>
      </c>
      <c r="E177">
        <v>21</v>
      </c>
      <c r="F177">
        <v>21</v>
      </c>
      <c r="G177" t="s">
        <v>13</v>
      </c>
      <c r="H177" t="s">
        <v>14</v>
      </c>
      <c r="I177" t="s">
        <v>40</v>
      </c>
    </row>
    <row r="178" spans="1:9" x14ac:dyDescent="0.35">
      <c r="A178">
        <v>177</v>
      </c>
      <c r="B178">
        <v>76</v>
      </c>
      <c r="C178">
        <v>1</v>
      </c>
      <c r="D178" s="1">
        <v>42036</v>
      </c>
      <c r="E178">
        <v>20.75</v>
      </c>
      <c r="F178">
        <v>20.75</v>
      </c>
      <c r="G178" t="s">
        <v>13</v>
      </c>
      <c r="H178" t="s">
        <v>16</v>
      </c>
      <c r="I178" t="s">
        <v>28</v>
      </c>
    </row>
    <row r="179" spans="1:9" x14ac:dyDescent="0.35">
      <c r="A179">
        <v>178</v>
      </c>
      <c r="B179">
        <v>77</v>
      </c>
      <c r="C179">
        <v>1</v>
      </c>
      <c r="D179" s="1">
        <v>42036</v>
      </c>
      <c r="E179">
        <v>16.75</v>
      </c>
      <c r="F179">
        <v>16.75</v>
      </c>
      <c r="G179" t="s">
        <v>9</v>
      </c>
      <c r="H179" t="s">
        <v>19</v>
      </c>
      <c r="I179" t="s">
        <v>23</v>
      </c>
    </row>
    <row r="180" spans="1:9" x14ac:dyDescent="0.35">
      <c r="A180">
        <v>179</v>
      </c>
      <c r="B180">
        <v>77</v>
      </c>
      <c r="C180">
        <v>1</v>
      </c>
      <c r="D180" s="1">
        <v>42036</v>
      </c>
      <c r="E180">
        <v>13.25</v>
      </c>
      <c r="F180">
        <v>13.25</v>
      </c>
      <c r="G180" t="s">
        <v>9</v>
      </c>
      <c r="H180" t="s">
        <v>10</v>
      </c>
      <c r="I180" t="s">
        <v>11</v>
      </c>
    </row>
    <row r="181" spans="1:9" x14ac:dyDescent="0.35">
      <c r="A181">
        <v>180</v>
      </c>
      <c r="B181">
        <v>78</v>
      </c>
      <c r="C181">
        <v>1</v>
      </c>
      <c r="D181" s="1">
        <v>42036</v>
      </c>
      <c r="E181">
        <v>12</v>
      </c>
      <c r="F181">
        <v>12</v>
      </c>
      <c r="G181" t="s">
        <v>22</v>
      </c>
      <c r="H181" t="s">
        <v>10</v>
      </c>
      <c r="I181" t="s">
        <v>35</v>
      </c>
    </row>
    <row r="182" spans="1:9" x14ac:dyDescent="0.35">
      <c r="A182">
        <v>181</v>
      </c>
      <c r="B182">
        <v>78</v>
      </c>
      <c r="C182">
        <v>1</v>
      </c>
      <c r="D182" s="1">
        <v>42036</v>
      </c>
      <c r="E182">
        <v>12</v>
      </c>
      <c r="F182">
        <v>12</v>
      </c>
      <c r="G182" t="s">
        <v>22</v>
      </c>
      <c r="H182" t="s">
        <v>10</v>
      </c>
      <c r="I182" t="s">
        <v>12</v>
      </c>
    </row>
    <row r="183" spans="1:9" x14ac:dyDescent="0.35">
      <c r="A183">
        <v>182</v>
      </c>
      <c r="B183">
        <v>78</v>
      </c>
      <c r="C183">
        <v>1</v>
      </c>
      <c r="D183" s="1">
        <v>42036</v>
      </c>
      <c r="E183">
        <v>17.95</v>
      </c>
      <c r="F183">
        <v>17.95</v>
      </c>
      <c r="G183" t="s">
        <v>13</v>
      </c>
      <c r="H183" t="s">
        <v>14</v>
      </c>
      <c r="I183" t="s">
        <v>37</v>
      </c>
    </row>
    <row r="184" spans="1:9" x14ac:dyDescent="0.35">
      <c r="A184">
        <v>183</v>
      </c>
      <c r="B184">
        <v>78</v>
      </c>
      <c r="C184">
        <v>1</v>
      </c>
      <c r="D184" s="1">
        <v>42036</v>
      </c>
      <c r="E184">
        <v>16</v>
      </c>
      <c r="F184">
        <v>16</v>
      </c>
      <c r="G184" t="s">
        <v>9</v>
      </c>
      <c r="H184" t="s">
        <v>10</v>
      </c>
      <c r="I184" t="s">
        <v>27</v>
      </c>
    </row>
    <row r="185" spans="1:9" x14ac:dyDescent="0.35">
      <c r="A185">
        <v>184</v>
      </c>
      <c r="B185">
        <v>78</v>
      </c>
      <c r="C185">
        <v>3</v>
      </c>
      <c r="D185" s="1">
        <v>42036</v>
      </c>
      <c r="E185">
        <v>20.75</v>
      </c>
      <c r="F185">
        <v>62.25</v>
      </c>
      <c r="G185" t="s">
        <v>13</v>
      </c>
      <c r="H185" t="s">
        <v>16</v>
      </c>
      <c r="I185" t="s">
        <v>28</v>
      </c>
    </row>
    <row r="186" spans="1:9" x14ac:dyDescent="0.35">
      <c r="A186">
        <v>185</v>
      </c>
      <c r="B186">
        <v>78</v>
      </c>
      <c r="C186">
        <v>1</v>
      </c>
      <c r="D186" s="1">
        <v>42036</v>
      </c>
      <c r="E186">
        <v>12.75</v>
      </c>
      <c r="F186">
        <v>12.75</v>
      </c>
      <c r="G186" t="s">
        <v>22</v>
      </c>
      <c r="H186" t="s">
        <v>19</v>
      </c>
      <c r="I186" t="s">
        <v>20</v>
      </c>
    </row>
    <row r="187" spans="1:9" x14ac:dyDescent="0.35">
      <c r="A187">
        <v>186</v>
      </c>
      <c r="B187">
        <v>79</v>
      </c>
      <c r="C187">
        <v>1</v>
      </c>
      <c r="D187" s="1">
        <v>42036</v>
      </c>
      <c r="E187">
        <v>20.5</v>
      </c>
      <c r="F187">
        <v>20.5</v>
      </c>
      <c r="G187" t="s">
        <v>13</v>
      </c>
      <c r="H187" t="s">
        <v>10</v>
      </c>
      <c r="I187" t="s">
        <v>27</v>
      </c>
    </row>
    <row r="188" spans="1:9" x14ac:dyDescent="0.35">
      <c r="A188">
        <v>187</v>
      </c>
      <c r="B188">
        <v>79</v>
      </c>
      <c r="C188">
        <v>1</v>
      </c>
      <c r="D188" s="1">
        <v>42036</v>
      </c>
      <c r="E188">
        <v>11</v>
      </c>
      <c r="F188">
        <v>11</v>
      </c>
      <c r="G188" t="s">
        <v>22</v>
      </c>
      <c r="H188" t="s">
        <v>10</v>
      </c>
      <c r="I188" t="s">
        <v>46</v>
      </c>
    </row>
    <row r="189" spans="1:9" x14ac:dyDescent="0.35">
      <c r="A189">
        <v>188</v>
      </c>
      <c r="B189">
        <v>79</v>
      </c>
      <c r="C189">
        <v>1</v>
      </c>
      <c r="D189" s="1">
        <v>42036</v>
      </c>
      <c r="E189">
        <v>20.75</v>
      </c>
      <c r="F189">
        <v>20.75</v>
      </c>
      <c r="G189" t="s">
        <v>13</v>
      </c>
      <c r="H189" t="s">
        <v>19</v>
      </c>
      <c r="I189" t="s">
        <v>20</v>
      </c>
    </row>
    <row r="190" spans="1:9" x14ac:dyDescent="0.35">
      <c r="A190">
        <v>189</v>
      </c>
      <c r="B190">
        <v>80</v>
      </c>
      <c r="C190">
        <v>1</v>
      </c>
      <c r="D190" s="1">
        <v>42036</v>
      </c>
      <c r="E190">
        <v>9.75</v>
      </c>
      <c r="F190">
        <v>9.75</v>
      </c>
      <c r="G190" t="s">
        <v>22</v>
      </c>
      <c r="H190" t="s">
        <v>10</v>
      </c>
      <c r="I190" t="s">
        <v>33</v>
      </c>
    </row>
    <row r="191" spans="1:9" x14ac:dyDescent="0.35">
      <c r="A191">
        <v>190</v>
      </c>
      <c r="B191">
        <v>80</v>
      </c>
      <c r="C191">
        <v>1</v>
      </c>
      <c r="D191" s="1">
        <v>42036</v>
      </c>
      <c r="E191">
        <v>16.75</v>
      </c>
      <c r="F191">
        <v>16.75</v>
      </c>
      <c r="G191" t="s">
        <v>9</v>
      </c>
      <c r="H191" t="s">
        <v>19</v>
      </c>
      <c r="I191" t="s">
        <v>20</v>
      </c>
    </row>
    <row r="192" spans="1:9" x14ac:dyDescent="0.35">
      <c r="A192">
        <v>191</v>
      </c>
      <c r="B192">
        <v>81</v>
      </c>
      <c r="C192">
        <v>1</v>
      </c>
      <c r="D192" s="1">
        <v>42036</v>
      </c>
      <c r="E192">
        <v>20.75</v>
      </c>
      <c r="F192">
        <v>20.75</v>
      </c>
      <c r="G192" t="s">
        <v>13</v>
      </c>
      <c r="H192" t="s">
        <v>19</v>
      </c>
      <c r="I192" t="s">
        <v>20</v>
      </c>
    </row>
    <row r="193" spans="1:9" x14ac:dyDescent="0.35">
      <c r="A193">
        <v>192</v>
      </c>
      <c r="B193">
        <v>82</v>
      </c>
      <c r="C193">
        <v>1</v>
      </c>
      <c r="D193" s="1">
        <v>42036</v>
      </c>
      <c r="E193">
        <v>12</v>
      </c>
      <c r="F193">
        <v>12</v>
      </c>
      <c r="G193" t="s">
        <v>22</v>
      </c>
      <c r="H193" t="s">
        <v>10</v>
      </c>
      <c r="I193" t="s">
        <v>35</v>
      </c>
    </row>
    <row r="194" spans="1:9" x14ac:dyDescent="0.35">
      <c r="A194">
        <v>193</v>
      </c>
      <c r="B194">
        <v>82</v>
      </c>
      <c r="C194">
        <v>1</v>
      </c>
      <c r="D194" s="1">
        <v>42036</v>
      </c>
      <c r="E194">
        <v>16.75</v>
      </c>
      <c r="F194">
        <v>16.75</v>
      </c>
      <c r="G194" t="s">
        <v>9</v>
      </c>
      <c r="H194" t="s">
        <v>19</v>
      </c>
      <c r="I194" t="s">
        <v>32</v>
      </c>
    </row>
    <row r="195" spans="1:9" x14ac:dyDescent="0.35">
      <c r="A195">
        <v>194</v>
      </c>
      <c r="B195">
        <v>82</v>
      </c>
      <c r="C195">
        <v>1</v>
      </c>
      <c r="D195" s="1">
        <v>42036</v>
      </c>
      <c r="E195">
        <v>20.75</v>
      </c>
      <c r="F195">
        <v>20.75</v>
      </c>
      <c r="G195" t="s">
        <v>13</v>
      </c>
      <c r="H195" t="s">
        <v>16</v>
      </c>
      <c r="I195" t="s">
        <v>28</v>
      </c>
    </row>
    <row r="196" spans="1:9" x14ac:dyDescent="0.35">
      <c r="A196">
        <v>195</v>
      </c>
      <c r="B196">
        <v>82</v>
      </c>
      <c r="C196">
        <v>1</v>
      </c>
      <c r="D196" s="1">
        <v>42036</v>
      </c>
      <c r="E196">
        <v>16</v>
      </c>
      <c r="F196">
        <v>16</v>
      </c>
      <c r="G196" t="s">
        <v>9</v>
      </c>
      <c r="H196" t="s">
        <v>14</v>
      </c>
      <c r="I196" t="s">
        <v>30</v>
      </c>
    </row>
    <row r="197" spans="1:9" x14ac:dyDescent="0.35">
      <c r="A197">
        <v>196</v>
      </c>
      <c r="B197">
        <v>83</v>
      </c>
      <c r="C197">
        <v>1</v>
      </c>
      <c r="D197" s="1">
        <v>42036</v>
      </c>
      <c r="E197">
        <v>12.75</v>
      </c>
      <c r="F197">
        <v>12.75</v>
      </c>
      <c r="G197" t="s">
        <v>22</v>
      </c>
      <c r="H197" t="s">
        <v>19</v>
      </c>
      <c r="I197" t="s">
        <v>31</v>
      </c>
    </row>
    <row r="198" spans="1:9" x14ac:dyDescent="0.35">
      <c r="A198">
        <v>197</v>
      </c>
      <c r="B198">
        <v>84</v>
      </c>
      <c r="C198">
        <v>1</v>
      </c>
      <c r="D198" s="1">
        <v>42036</v>
      </c>
      <c r="E198">
        <v>15.25</v>
      </c>
      <c r="F198">
        <v>15.25</v>
      </c>
      <c r="G198" t="s">
        <v>13</v>
      </c>
      <c r="H198" t="s">
        <v>10</v>
      </c>
      <c r="I198" t="s">
        <v>33</v>
      </c>
    </row>
    <row r="199" spans="1:9" x14ac:dyDescent="0.35">
      <c r="A199">
        <v>198</v>
      </c>
      <c r="B199">
        <v>85</v>
      </c>
      <c r="C199">
        <v>1</v>
      </c>
      <c r="D199" s="1">
        <v>42036</v>
      </c>
      <c r="E199">
        <v>16</v>
      </c>
      <c r="F199">
        <v>16</v>
      </c>
      <c r="G199" t="s">
        <v>9</v>
      </c>
      <c r="H199" t="s">
        <v>10</v>
      </c>
      <c r="I199" t="s">
        <v>12</v>
      </c>
    </row>
    <row r="200" spans="1:9" x14ac:dyDescent="0.35">
      <c r="A200">
        <v>199</v>
      </c>
      <c r="B200">
        <v>85</v>
      </c>
      <c r="C200">
        <v>1</v>
      </c>
      <c r="D200" s="1">
        <v>42036</v>
      </c>
      <c r="E200">
        <v>12</v>
      </c>
      <c r="F200">
        <v>12</v>
      </c>
      <c r="G200" t="s">
        <v>22</v>
      </c>
      <c r="H200" t="s">
        <v>10</v>
      </c>
      <c r="I200" t="s">
        <v>12</v>
      </c>
    </row>
    <row r="201" spans="1:9" x14ac:dyDescent="0.35">
      <c r="A201">
        <v>200</v>
      </c>
      <c r="B201">
        <v>85</v>
      </c>
      <c r="C201">
        <v>1</v>
      </c>
      <c r="D201" s="1">
        <v>42036</v>
      </c>
      <c r="E201">
        <v>20.75</v>
      </c>
      <c r="F201">
        <v>20.75</v>
      </c>
      <c r="G201" t="s">
        <v>13</v>
      </c>
      <c r="H201" t="s">
        <v>16</v>
      </c>
      <c r="I201" t="s">
        <v>17</v>
      </c>
    </row>
    <row r="202" spans="1:9" x14ac:dyDescent="0.35">
      <c r="A202">
        <v>201</v>
      </c>
      <c r="B202">
        <v>85</v>
      </c>
      <c r="C202">
        <v>1</v>
      </c>
      <c r="D202" s="1">
        <v>42036</v>
      </c>
      <c r="E202">
        <v>16</v>
      </c>
      <c r="F202">
        <v>16</v>
      </c>
      <c r="G202" t="s">
        <v>9</v>
      </c>
      <c r="H202" t="s">
        <v>10</v>
      </c>
      <c r="I202" t="s">
        <v>24</v>
      </c>
    </row>
    <row r="203" spans="1:9" x14ac:dyDescent="0.35">
      <c r="A203">
        <v>202</v>
      </c>
      <c r="B203">
        <v>86</v>
      </c>
      <c r="C203">
        <v>1</v>
      </c>
      <c r="D203" s="1">
        <v>42036</v>
      </c>
      <c r="E203">
        <v>16.5</v>
      </c>
      <c r="F203">
        <v>16.5</v>
      </c>
      <c r="G203" t="s">
        <v>13</v>
      </c>
      <c r="H203" t="s">
        <v>10</v>
      </c>
      <c r="I203" t="s">
        <v>11</v>
      </c>
    </row>
    <row r="204" spans="1:9" x14ac:dyDescent="0.35">
      <c r="A204">
        <v>203</v>
      </c>
      <c r="B204">
        <v>87</v>
      </c>
      <c r="C204">
        <v>1</v>
      </c>
      <c r="D204" s="1">
        <v>42036</v>
      </c>
      <c r="E204">
        <v>16</v>
      </c>
      <c r="F204">
        <v>16</v>
      </c>
      <c r="G204" t="s">
        <v>9</v>
      </c>
      <c r="H204" t="s">
        <v>10</v>
      </c>
      <c r="I204" t="s">
        <v>27</v>
      </c>
    </row>
    <row r="205" spans="1:9" x14ac:dyDescent="0.35">
      <c r="A205">
        <v>204</v>
      </c>
      <c r="B205">
        <v>87</v>
      </c>
      <c r="C205">
        <v>1</v>
      </c>
      <c r="D205" s="1">
        <v>42036</v>
      </c>
      <c r="E205">
        <v>16</v>
      </c>
      <c r="F205">
        <v>16</v>
      </c>
      <c r="G205" t="s">
        <v>9</v>
      </c>
      <c r="H205" t="s">
        <v>14</v>
      </c>
      <c r="I205" t="s">
        <v>18</v>
      </c>
    </row>
    <row r="206" spans="1:9" x14ac:dyDescent="0.35">
      <c r="A206">
        <v>205</v>
      </c>
      <c r="B206">
        <v>87</v>
      </c>
      <c r="C206">
        <v>1</v>
      </c>
      <c r="D206" s="1">
        <v>42036</v>
      </c>
      <c r="E206">
        <v>20.75</v>
      </c>
      <c r="F206">
        <v>20.75</v>
      </c>
      <c r="G206" t="s">
        <v>13</v>
      </c>
      <c r="H206" t="s">
        <v>16</v>
      </c>
      <c r="I206" t="s">
        <v>25</v>
      </c>
    </row>
    <row r="207" spans="1:9" x14ac:dyDescent="0.35">
      <c r="A207">
        <v>206</v>
      </c>
      <c r="B207">
        <v>87</v>
      </c>
      <c r="C207">
        <v>1</v>
      </c>
      <c r="D207" s="1">
        <v>42036</v>
      </c>
      <c r="E207">
        <v>12.5</v>
      </c>
      <c r="F207">
        <v>12.5</v>
      </c>
      <c r="G207" t="s">
        <v>22</v>
      </c>
      <c r="H207" t="s">
        <v>16</v>
      </c>
      <c r="I207" t="s">
        <v>25</v>
      </c>
    </row>
    <row r="208" spans="1:9" x14ac:dyDescent="0.35">
      <c r="A208">
        <v>207</v>
      </c>
      <c r="B208">
        <v>88</v>
      </c>
      <c r="C208">
        <v>1</v>
      </c>
      <c r="D208" s="1">
        <v>42036</v>
      </c>
      <c r="E208">
        <v>18.5</v>
      </c>
      <c r="F208">
        <v>18.5</v>
      </c>
      <c r="G208" t="s">
        <v>13</v>
      </c>
      <c r="H208" t="s">
        <v>14</v>
      </c>
      <c r="I208" t="s">
        <v>15</v>
      </c>
    </row>
    <row r="209" spans="1:9" x14ac:dyDescent="0.35">
      <c r="A209">
        <v>208</v>
      </c>
      <c r="B209">
        <v>89</v>
      </c>
      <c r="C209">
        <v>1</v>
      </c>
      <c r="D209" s="1">
        <v>42036</v>
      </c>
      <c r="E209">
        <v>20.75</v>
      </c>
      <c r="F209">
        <v>20.75</v>
      </c>
      <c r="G209" t="s">
        <v>13</v>
      </c>
      <c r="H209" t="s">
        <v>16</v>
      </c>
      <c r="I209" t="s">
        <v>36</v>
      </c>
    </row>
    <row r="210" spans="1:9" x14ac:dyDescent="0.35">
      <c r="A210">
        <v>209</v>
      </c>
      <c r="B210">
        <v>89</v>
      </c>
      <c r="C210">
        <v>1</v>
      </c>
      <c r="D210" s="1">
        <v>42036</v>
      </c>
      <c r="E210">
        <v>20.75</v>
      </c>
      <c r="F210">
        <v>20.75</v>
      </c>
      <c r="G210" t="s">
        <v>13</v>
      </c>
      <c r="H210" t="s">
        <v>19</v>
      </c>
      <c r="I210" t="s">
        <v>20</v>
      </c>
    </row>
    <row r="211" spans="1:9" x14ac:dyDescent="0.35">
      <c r="A211">
        <v>210</v>
      </c>
      <c r="B211">
        <v>90</v>
      </c>
      <c r="C211">
        <v>1</v>
      </c>
      <c r="D211" s="1">
        <v>42036</v>
      </c>
      <c r="E211">
        <v>20.25</v>
      </c>
      <c r="F211">
        <v>20.25</v>
      </c>
      <c r="G211" t="s">
        <v>13</v>
      </c>
      <c r="H211" t="s">
        <v>16</v>
      </c>
      <c r="I211" t="s">
        <v>44</v>
      </c>
    </row>
    <row r="212" spans="1:9" x14ac:dyDescent="0.35">
      <c r="A212">
        <v>211</v>
      </c>
      <c r="B212">
        <v>90</v>
      </c>
      <c r="C212">
        <v>1</v>
      </c>
      <c r="D212" s="1">
        <v>42036</v>
      </c>
      <c r="E212">
        <v>12.75</v>
      </c>
      <c r="F212">
        <v>12.75</v>
      </c>
      <c r="G212" t="s">
        <v>22</v>
      </c>
      <c r="H212" t="s">
        <v>19</v>
      </c>
      <c r="I212" t="s">
        <v>20</v>
      </c>
    </row>
    <row r="213" spans="1:9" x14ac:dyDescent="0.35">
      <c r="A213">
        <v>212</v>
      </c>
      <c r="B213">
        <v>91</v>
      </c>
      <c r="C213">
        <v>2</v>
      </c>
      <c r="D213" s="1">
        <v>42036</v>
      </c>
      <c r="E213">
        <v>20.75</v>
      </c>
      <c r="F213">
        <v>41.5</v>
      </c>
      <c r="G213" t="s">
        <v>13</v>
      </c>
      <c r="H213" t="s">
        <v>19</v>
      </c>
      <c r="I213" t="s">
        <v>23</v>
      </c>
    </row>
    <row r="214" spans="1:9" x14ac:dyDescent="0.35">
      <c r="A214">
        <v>213</v>
      </c>
      <c r="B214">
        <v>91</v>
      </c>
      <c r="C214">
        <v>1</v>
      </c>
      <c r="D214" s="1">
        <v>42036</v>
      </c>
      <c r="E214">
        <v>12.75</v>
      </c>
      <c r="F214">
        <v>12.75</v>
      </c>
      <c r="G214" t="s">
        <v>22</v>
      </c>
      <c r="H214" t="s">
        <v>19</v>
      </c>
      <c r="I214" t="s">
        <v>34</v>
      </c>
    </row>
    <row r="215" spans="1:9" x14ac:dyDescent="0.35">
      <c r="A215">
        <v>214</v>
      </c>
      <c r="B215">
        <v>91</v>
      </c>
      <c r="C215">
        <v>1</v>
      </c>
      <c r="D215" s="1">
        <v>42036</v>
      </c>
      <c r="E215">
        <v>9.75</v>
      </c>
      <c r="F215">
        <v>9.75</v>
      </c>
      <c r="G215" t="s">
        <v>22</v>
      </c>
      <c r="H215" t="s">
        <v>10</v>
      </c>
      <c r="I215" t="s">
        <v>33</v>
      </c>
    </row>
    <row r="216" spans="1:9" x14ac:dyDescent="0.35">
      <c r="A216">
        <v>215</v>
      </c>
      <c r="B216">
        <v>92</v>
      </c>
      <c r="C216">
        <v>1</v>
      </c>
      <c r="D216" s="1">
        <v>42036</v>
      </c>
      <c r="E216">
        <v>16.75</v>
      </c>
      <c r="F216">
        <v>16.75</v>
      </c>
      <c r="G216" t="s">
        <v>9</v>
      </c>
      <c r="H216" t="s">
        <v>19</v>
      </c>
      <c r="I216" t="s">
        <v>23</v>
      </c>
    </row>
    <row r="217" spans="1:9" x14ac:dyDescent="0.35">
      <c r="A217">
        <v>216</v>
      </c>
      <c r="B217">
        <v>92</v>
      </c>
      <c r="C217">
        <v>1</v>
      </c>
      <c r="D217" s="1">
        <v>42036</v>
      </c>
      <c r="E217">
        <v>20.75</v>
      </c>
      <c r="F217">
        <v>20.75</v>
      </c>
      <c r="G217" t="s">
        <v>13</v>
      </c>
      <c r="H217" t="s">
        <v>16</v>
      </c>
      <c r="I217" t="s">
        <v>17</v>
      </c>
    </row>
    <row r="218" spans="1:9" x14ac:dyDescent="0.35">
      <c r="A218">
        <v>217</v>
      </c>
      <c r="B218">
        <v>92</v>
      </c>
      <c r="C218">
        <v>1</v>
      </c>
      <c r="D218" s="1">
        <v>42036</v>
      </c>
      <c r="E218">
        <v>16.5</v>
      </c>
      <c r="F218">
        <v>16.5</v>
      </c>
      <c r="G218" t="s">
        <v>9</v>
      </c>
      <c r="H218" t="s">
        <v>16</v>
      </c>
      <c r="I218" t="s">
        <v>17</v>
      </c>
    </row>
    <row r="219" spans="1:9" x14ac:dyDescent="0.35">
      <c r="A219">
        <v>218</v>
      </c>
      <c r="B219">
        <v>92</v>
      </c>
      <c r="C219">
        <v>1</v>
      </c>
      <c r="D219" s="1">
        <v>42036</v>
      </c>
      <c r="E219">
        <v>12.75</v>
      </c>
      <c r="F219">
        <v>12.75</v>
      </c>
      <c r="G219" t="s">
        <v>22</v>
      </c>
      <c r="H219" t="s">
        <v>14</v>
      </c>
      <c r="I219" t="s">
        <v>40</v>
      </c>
    </row>
    <row r="220" spans="1:9" x14ac:dyDescent="0.35">
      <c r="A220">
        <v>219</v>
      </c>
      <c r="B220">
        <v>92</v>
      </c>
      <c r="C220">
        <v>1</v>
      </c>
      <c r="D220" s="1">
        <v>42036</v>
      </c>
      <c r="E220">
        <v>12.5</v>
      </c>
      <c r="F220">
        <v>12.5</v>
      </c>
      <c r="G220" t="s">
        <v>9</v>
      </c>
      <c r="H220" t="s">
        <v>10</v>
      </c>
      <c r="I220" t="s">
        <v>33</v>
      </c>
    </row>
    <row r="221" spans="1:9" x14ac:dyDescent="0.35">
      <c r="A221">
        <v>220</v>
      </c>
      <c r="B221">
        <v>92</v>
      </c>
      <c r="C221">
        <v>1</v>
      </c>
      <c r="D221" s="1">
        <v>42036</v>
      </c>
      <c r="E221">
        <v>16.5</v>
      </c>
      <c r="F221">
        <v>16.5</v>
      </c>
      <c r="G221" t="s">
        <v>9</v>
      </c>
      <c r="H221" t="s">
        <v>16</v>
      </c>
      <c r="I221" t="s">
        <v>42</v>
      </c>
    </row>
    <row r="222" spans="1:9" x14ac:dyDescent="0.35">
      <c r="A222">
        <v>221</v>
      </c>
      <c r="B222">
        <v>92</v>
      </c>
      <c r="C222">
        <v>1</v>
      </c>
      <c r="D222" s="1">
        <v>42036</v>
      </c>
      <c r="E222">
        <v>12</v>
      </c>
      <c r="F222">
        <v>12</v>
      </c>
      <c r="G222" t="s">
        <v>22</v>
      </c>
      <c r="H222" t="s">
        <v>14</v>
      </c>
      <c r="I222" t="s">
        <v>43</v>
      </c>
    </row>
    <row r="223" spans="1:9" x14ac:dyDescent="0.35">
      <c r="A223">
        <v>222</v>
      </c>
      <c r="B223">
        <v>92</v>
      </c>
      <c r="C223">
        <v>1</v>
      </c>
      <c r="D223" s="1">
        <v>42036</v>
      </c>
      <c r="E223">
        <v>12.5</v>
      </c>
      <c r="F223">
        <v>12.5</v>
      </c>
      <c r="G223" t="s">
        <v>22</v>
      </c>
      <c r="H223" t="s">
        <v>16</v>
      </c>
      <c r="I223" t="s">
        <v>25</v>
      </c>
    </row>
    <row r="224" spans="1:9" x14ac:dyDescent="0.35">
      <c r="A224">
        <v>223</v>
      </c>
      <c r="B224">
        <v>92</v>
      </c>
      <c r="C224">
        <v>2</v>
      </c>
      <c r="D224" s="1">
        <v>42036</v>
      </c>
      <c r="E224">
        <v>16</v>
      </c>
      <c r="F224">
        <v>32</v>
      </c>
      <c r="G224" t="s">
        <v>9</v>
      </c>
      <c r="H224" t="s">
        <v>10</v>
      </c>
      <c r="I224" t="s">
        <v>24</v>
      </c>
    </row>
    <row r="225" spans="1:9" x14ac:dyDescent="0.35">
      <c r="A225">
        <v>224</v>
      </c>
      <c r="B225">
        <v>93</v>
      </c>
      <c r="C225">
        <v>1</v>
      </c>
      <c r="D225" s="1">
        <v>42036</v>
      </c>
      <c r="E225">
        <v>16.25</v>
      </c>
      <c r="F225">
        <v>16.25</v>
      </c>
      <c r="G225" t="s">
        <v>9</v>
      </c>
      <c r="H225" t="s">
        <v>16</v>
      </c>
      <c r="I225" t="s">
        <v>44</v>
      </c>
    </row>
    <row r="226" spans="1:9" x14ac:dyDescent="0.35">
      <c r="A226">
        <v>225</v>
      </c>
      <c r="B226">
        <v>94</v>
      </c>
      <c r="C226">
        <v>1</v>
      </c>
      <c r="D226" s="1">
        <v>42036</v>
      </c>
      <c r="E226">
        <v>16</v>
      </c>
      <c r="F226">
        <v>16</v>
      </c>
      <c r="G226" t="s">
        <v>9</v>
      </c>
      <c r="H226" t="s">
        <v>10</v>
      </c>
      <c r="I226" t="s">
        <v>27</v>
      </c>
    </row>
    <row r="227" spans="1:9" x14ac:dyDescent="0.35">
      <c r="A227">
        <v>226</v>
      </c>
      <c r="B227">
        <v>94</v>
      </c>
      <c r="C227">
        <v>1</v>
      </c>
      <c r="D227" s="1">
        <v>42036</v>
      </c>
      <c r="E227">
        <v>12.75</v>
      </c>
      <c r="F227">
        <v>12.75</v>
      </c>
      <c r="G227" t="s">
        <v>22</v>
      </c>
      <c r="H227" t="s">
        <v>19</v>
      </c>
      <c r="I227" t="s">
        <v>31</v>
      </c>
    </row>
    <row r="228" spans="1:9" x14ac:dyDescent="0.35">
      <c r="A228">
        <v>227</v>
      </c>
      <c r="B228">
        <v>95</v>
      </c>
      <c r="C228">
        <v>1</v>
      </c>
      <c r="D228" s="1">
        <v>42036</v>
      </c>
      <c r="E228">
        <v>12</v>
      </c>
      <c r="F228">
        <v>12</v>
      </c>
      <c r="G228" t="s">
        <v>22</v>
      </c>
      <c r="H228" t="s">
        <v>10</v>
      </c>
      <c r="I228" t="s">
        <v>38</v>
      </c>
    </row>
    <row r="229" spans="1:9" x14ac:dyDescent="0.35">
      <c r="A229">
        <v>228</v>
      </c>
      <c r="B229">
        <v>95</v>
      </c>
      <c r="C229">
        <v>1</v>
      </c>
      <c r="D229" s="1">
        <v>42036</v>
      </c>
      <c r="E229">
        <v>20.75</v>
      </c>
      <c r="F229">
        <v>20.75</v>
      </c>
      <c r="G229" t="s">
        <v>13</v>
      </c>
      <c r="H229" t="s">
        <v>16</v>
      </c>
      <c r="I229" t="s">
        <v>42</v>
      </c>
    </row>
    <row r="230" spans="1:9" x14ac:dyDescent="0.35">
      <c r="A230">
        <v>229</v>
      </c>
      <c r="B230">
        <v>96</v>
      </c>
      <c r="C230">
        <v>1</v>
      </c>
      <c r="D230" s="1">
        <v>42036</v>
      </c>
      <c r="E230">
        <v>12</v>
      </c>
      <c r="F230">
        <v>12</v>
      </c>
      <c r="G230" t="s">
        <v>22</v>
      </c>
      <c r="H230" t="s">
        <v>10</v>
      </c>
      <c r="I230" t="s">
        <v>38</v>
      </c>
    </row>
    <row r="231" spans="1:9" x14ac:dyDescent="0.35">
      <c r="A231">
        <v>230</v>
      </c>
      <c r="B231">
        <v>97</v>
      </c>
      <c r="C231">
        <v>1</v>
      </c>
      <c r="D231" s="1">
        <v>42036</v>
      </c>
      <c r="E231">
        <v>12</v>
      </c>
      <c r="F231">
        <v>12</v>
      </c>
      <c r="G231" t="s">
        <v>22</v>
      </c>
      <c r="H231" t="s">
        <v>10</v>
      </c>
      <c r="I231" t="s">
        <v>35</v>
      </c>
    </row>
    <row r="232" spans="1:9" x14ac:dyDescent="0.35">
      <c r="A232">
        <v>231</v>
      </c>
      <c r="B232">
        <v>98</v>
      </c>
      <c r="C232">
        <v>1</v>
      </c>
      <c r="D232" s="1">
        <v>42036</v>
      </c>
      <c r="E232">
        <v>20.5</v>
      </c>
      <c r="F232">
        <v>20.5</v>
      </c>
      <c r="G232" t="s">
        <v>13</v>
      </c>
      <c r="H232" t="s">
        <v>10</v>
      </c>
      <c r="I232" t="s">
        <v>12</v>
      </c>
    </row>
    <row r="233" spans="1:9" x14ac:dyDescent="0.35">
      <c r="A233">
        <v>232</v>
      </c>
      <c r="B233">
        <v>98</v>
      </c>
      <c r="C233">
        <v>1</v>
      </c>
      <c r="D233" s="1">
        <v>42036</v>
      </c>
      <c r="E233">
        <v>20.5</v>
      </c>
      <c r="F233">
        <v>20.5</v>
      </c>
      <c r="G233" t="s">
        <v>13</v>
      </c>
      <c r="H233" t="s">
        <v>10</v>
      </c>
      <c r="I233" t="s">
        <v>38</v>
      </c>
    </row>
    <row r="234" spans="1:9" x14ac:dyDescent="0.35">
      <c r="A234">
        <v>233</v>
      </c>
      <c r="B234">
        <v>99</v>
      </c>
      <c r="C234">
        <v>1</v>
      </c>
      <c r="D234" s="1">
        <v>42036</v>
      </c>
      <c r="E234">
        <v>20.75</v>
      </c>
      <c r="F234">
        <v>20.75</v>
      </c>
      <c r="G234" t="s">
        <v>13</v>
      </c>
      <c r="H234" t="s">
        <v>16</v>
      </c>
      <c r="I234" t="s">
        <v>17</v>
      </c>
    </row>
    <row r="235" spans="1:9" x14ac:dyDescent="0.35">
      <c r="A235">
        <v>234</v>
      </c>
      <c r="B235">
        <v>100</v>
      </c>
      <c r="C235">
        <v>1</v>
      </c>
      <c r="D235" s="1">
        <v>42036</v>
      </c>
      <c r="E235">
        <v>16.5</v>
      </c>
      <c r="F235">
        <v>16.5</v>
      </c>
      <c r="G235" t="s">
        <v>13</v>
      </c>
      <c r="H235" t="s">
        <v>10</v>
      </c>
      <c r="I235" t="s">
        <v>11</v>
      </c>
    </row>
    <row r="236" spans="1:9" x14ac:dyDescent="0.35">
      <c r="A236">
        <v>235</v>
      </c>
      <c r="B236">
        <v>101</v>
      </c>
      <c r="C236">
        <v>1</v>
      </c>
      <c r="D236" s="1">
        <v>42036</v>
      </c>
      <c r="E236">
        <v>20.75</v>
      </c>
      <c r="F236">
        <v>20.75</v>
      </c>
      <c r="G236" t="s">
        <v>13</v>
      </c>
      <c r="H236" t="s">
        <v>19</v>
      </c>
      <c r="I236" t="s">
        <v>32</v>
      </c>
    </row>
    <row r="237" spans="1:9" x14ac:dyDescent="0.35">
      <c r="A237">
        <v>236</v>
      </c>
      <c r="B237">
        <v>101</v>
      </c>
      <c r="C237">
        <v>1</v>
      </c>
      <c r="D237" s="1">
        <v>42036</v>
      </c>
      <c r="E237">
        <v>15.25</v>
      </c>
      <c r="F237">
        <v>15.25</v>
      </c>
      <c r="G237" t="s">
        <v>13</v>
      </c>
      <c r="H237" t="s">
        <v>10</v>
      </c>
      <c r="I237" t="s">
        <v>33</v>
      </c>
    </row>
    <row r="238" spans="1:9" x14ac:dyDescent="0.35">
      <c r="A238">
        <v>237</v>
      </c>
      <c r="B238">
        <v>101</v>
      </c>
      <c r="C238">
        <v>1</v>
      </c>
      <c r="D238" s="1">
        <v>42036</v>
      </c>
      <c r="E238">
        <v>20.75</v>
      </c>
      <c r="F238">
        <v>20.75</v>
      </c>
      <c r="G238" t="s">
        <v>13</v>
      </c>
      <c r="H238" t="s">
        <v>16</v>
      </c>
      <c r="I238" t="s">
        <v>36</v>
      </c>
    </row>
    <row r="239" spans="1:9" x14ac:dyDescent="0.35">
      <c r="A239">
        <v>238</v>
      </c>
      <c r="B239">
        <v>101</v>
      </c>
      <c r="C239">
        <v>1</v>
      </c>
      <c r="D239" s="1">
        <v>42036</v>
      </c>
      <c r="E239">
        <v>16.5</v>
      </c>
      <c r="F239">
        <v>16.5</v>
      </c>
      <c r="G239" t="s">
        <v>9</v>
      </c>
      <c r="H239" t="s">
        <v>16</v>
      </c>
      <c r="I239" t="s">
        <v>28</v>
      </c>
    </row>
    <row r="240" spans="1:9" x14ac:dyDescent="0.35">
      <c r="A240">
        <v>239</v>
      </c>
      <c r="B240">
        <v>102</v>
      </c>
      <c r="C240">
        <v>1</v>
      </c>
      <c r="D240" s="1">
        <v>42036</v>
      </c>
      <c r="E240">
        <v>12.75</v>
      </c>
      <c r="F240">
        <v>12.75</v>
      </c>
      <c r="G240" t="s">
        <v>22</v>
      </c>
      <c r="H240" t="s">
        <v>19</v>
      </c>
      <c r="I240" t="s">
        <v>23</v>
      </c>
    </row>
    <row r="241" spans="1:9" x14ac:dyDescent="0.35">
      <c r="A241">
        <v>240</v>
      </c>
      <c r="B241">
        <v>102</v>
      </c>
      <c r="C241">
        <v>1</v>
      </c>
      <c r="D241" s="1">
        <v>42036</v>
      </c>
      <c r="E241">
        <v>12.5</v>
      </c>
      <c r="F241">
        <v>12.5</v>
      </c>
      <c r="G241" t="s">
        <v>22</v>
      </c>
      <c r="H241" t="s">
        <v>16</v>
      </c>
      <c r="I241" t="s">
        <v>21</v>
      </c>
    </row>
    <row r="242" spans="1:9" x14ac:dyDescent="0.35">
      <c r="A242">
        <v>241</v>
      </c>
      <c r="B242">
        <v>103</v>
      </c>
      <c r="C242">
        <v>1</v>
      </c>
      <c r="D242" s="1">
        <v>42036</v>
      </c>
      <c r="E242">
        <v>12.5</v>
      </c>
      <c r="F242">
        <v>12.5</v>
      </c>
      <c r="G242" t="s">
        <v>22</v>
      </c>
      <c r="H242" t="s">
        <v>16</v>
      </c>
      <c r="I242" t="s">
        <v>25</v>
      </c>
    </row>
    <row r="243" spans="1:9" x14ac:dyDescent="0.35">
      <c r="A243">
        <v>242</v>
      </c>
      <c r="B243">
        <v>104</v>
      </c>
      <c r="C243">
        <v>1</v>
      </c>
      <c r="D243" s="1">
        <v>42036</v>
      </c>
      <c r="E243">
        <v>16.75</v>
      </c>
      <c r="F243">
        <v>16.75</v>
      </c>
      <c r="G243" t="s">
        <v>9</v>
      </c>
      <c r="H243" t="s">
        <v>19</v>
      </c>
      <c r="I243" t="s">
        <v>23</v>
      </c>
    </row>
    <row r="244" spans="1:9" x14ac:dyDescent="0.35">
      <c r="A244">
        <v>243</v>
      </c>
      <c r="B244">
        <v>104</v>
      </c>
      <c r="C244">
        <v>1</v>
      </c>
      <c r="D244" s="1">
        <v>42036</v>
      </c>
      <c r="E244">
        <v>16.75</v>
      </c>
      <c r="F244">
        <v>16.75</v>
      </c>
      <c r="G244" t="s">
        <v>9</v>
      </c>
      <c r="H244" t="s">
        <v>19</v>
      </c>
      <c r="I244" t="s">
        <v>45</v>
      </c>
    </row>
    <row r="245" spans="1:9" x14ac:dyDescent="0.35">
      <c r="A245">
        <v>244</v>
      </c>
      <c r="B245">
        <v>104</v>
      </c>
      <c r="C245">
        <v>1</v>
      </c>
      <c r="D245" s="1">
        <v>42036</v>
      </c>
      <c r="E245">
        <v>16.75</v>
      </c>
      <c r="F245">
        <v>16.75</v>
      </c>
      <c r="G245" t="s">
        <v>9</v>
      </c>
      <c r="H245" t="s">
        <v>14</v>
      </c>
      <c r="I245" t="s">
        <v>40</v>
      </c>
    </row>
    <row r="246" spans="1:9" x14ac:dyDescent="0.35">
      <c r="A246">
        <v>245</v>
      </c>
      <c r="B246">
        <v>104</v>
      </c>
      <c r="C246">
        <v>1</v>
      </c>
      <c r="D246" s="1">
        <v>42036</v>
      </c>
      <c r="E246">
        <v>20.25</v>
      </c>
      <c r="F246">
        <v>20.25</v>
      </c>
      <c r="G246" t="s">
        <v>13</v>
      </c>
      <c r="H246" t="s">
        <v>14</v>
      </c>
      <c r="I246" t="s">
        <v>30</v>
      </c>
    </row>
    <row r="247" spans="1:9" x14ac:dyDescent="0.35">
      <c r="A247">
        <v>246</v>
      </c>
      <c r="B247">
        <v>105</v>
      </c>
      <c r="C247">
        <v>2</v>
      </c>
      <c r="D247" s="1">
        <v>42036</v>
      </c>
      <c r="E247">
        <v>10.5</v>
      </c>
      <c r="F247">
        <v>21</v>
      </c>
      <c r="G247" t="s">
        <v>22</v>
      </c>
      <c r="H247" t="s">
        <v>10</v>
      </c>
      <c r="I247" t="s">
        <v>11</v>
      </c>
    </row>
    <row r="248" spans="1:9" x14ac:dyDescent="0.35">
      <c r="A248">
        <v>247</v>
      </c>
      <c r="B248">
        <v>105</v>
      </c>
      <c r="C248">
        <v>1</v>
      </c>
      <c r="D248" s="1">
        <v>42036</v>
      </c>
      <c r="E248">
        <v>15.25</v>
      </c>
      <c r="F248">
        <v>15.25</v>
      </c>
      <c r="G248" t="s">
        <v>13</v>
      </c>
      <c r="H248" t="s">
        <v>10</v>
      </c>
      <c r="I248" t="s">
        <v>33</v>
      </c>
    </row>
    <row r="249" spans="1:9" x14ac:dyDescent="0.35">
      <c r="A249">
        <v>248</v>
      </c>
      <c r="B249">
        <v>105</v>
      </c>
      <c r="C249">
        <v>1</v>
      </c>
      <c r="D249" s="1">
        <v>42036</v>
      </c>
      <c r="E249">
        <v>16.5</v>
      </c>
      <c r="F249">
        <v>16.5</v>
      </c>
      <c r="G249" t="s">
        <v>9</v>
      </c>
      <c r="H249" t="s">
        <v>16</v>
      </c>
      <c r="I249" t="s">
        <v>21</v>
      </c>
    </row>
    <row r="250" spans="1:9" x14ac:dyDescent="0.35">
      <c r="A250">
        <v>249</v>
      </c>
      <c r="B250">
        <v>106</v>
      </c>
      <c r="C250">
        <v>1</v>
      </c>
      <c r="D250" s="1">
        <v>42036</v>
      </c>
      <c r="E250">
        <v>20.25</v>
      </c>
      <c r="F250">
        <v>20.25</v>
      </c>
      <c r="G250" t="s">
        <v>13</v>
      </c>
      <c r="H250" t="s">
        <v>14</v>
      </c>
      <c r="I250" t="s">
        <v>18</v>
      </c>
    </row>
    <row r="251" spans="1:9" x14ac:dyDescent="0.35">
      <c r="A251">
        <v>250</v>
      </c>
      <c r="B251">
        <v>106</v>
      </c>
      <c r="C251">
        <v>1</v>
      </c>
      <c r="D251" s="1">
        <v>42036</v>
      </c>
      <c r="E251">
        <v>20.75</v>
      </c>
      <c r="F251">
        <v>20.75</v>
      </c>
      <c r="G251" t="s">
        <v>13</v>
      </c>
      <c r="H251" t="s">
        <v>16</v>
      </c>
      <c r="I251" t="s">
        <v>28</v>
      </c>
    </row>
    <row r="252" spans="1:9" x14ac:dyDescent="0.35">
      <c r="A252">
        <v>251</v>
      </c>
      <c r="B252">
        <v>107</v>
      </c>
      <c r="C252">
        <v>1</v>
      </c>
      <c r="D252" s="1">
        <v>42036</v>
      </c>
      <c r="E252">
        <v>20.75</v>
      </c>
      <c r="F252">
        <v>20.75</v>
      </c>
      <c r="G252" t="s">
        <v>13</v>
      </c>
      <c r="H252" t="s">
        <v>19</v>
      </c>
      <c r="I252" t="s">
        <v>32</v>
      </c>
    </row>
    <row r="253" spans="1:9" x14ac:dyDescent="0.35">
      <c r="A253">
        <v>252</v>
      </c>
      <c r="B253">
        <v>107</v>
      </c>
      <c r="C253">
        <v>1</v>
      </c>
      <c r="D253" s="1">
        <v>42036</v>
      </c>
      <c r="E253">
        <v>16.5</v>
      </c>
      <c r="F253">
        <v>16.5</v>
      </c>
      <c r="G253" t="s">
        <v>9</v>
      </c>
      <c r="H253" t="s">
        <v>16</v>
      </c>
      <c r="I253" t="s">
        <v>17</v>
      </c>
    </row>
    <row r="254" spans="1:9" x14ac:dyDescent="0.35">
      <c r="A254">
        <v>253</v>
      </c>
      <c r="B254">
        <v>107</v>
      </c>
      <c r="C254">
        <v>1</v>
      </c>
      <c r="D254" s="1">
        <v>42036</v>
      </c>
      <c r="E254">
        <v>20.75</v>
      </c>
      <c r="F254">
        <v>20.75</v>
      </c>
      <c r="G254" t="s">
        <v>13</v>
      </c>
      <c r="H254" t="s">
        <v>16</v>
      </c>
      <c r="I254" t="s">
        <v>28</v>
      </c>
    </row>
    <row r="255" spans="1:9" x14ac:dyDescent="0.35">
      <c r="A255">
        <v>254</v>
      </c>
      <c r="B255">
        <v>107</v>
      </c>
      <c r="C255">
        <v>1</v>
      </c>
      <c r="D255" s="1">
        <v>42036</v>
      </c>
      <c r="E255">
        <v>20.25</v>
      </c>
      <c r="F255">
        <v>20.25</v>
      </c>
      <c r="G255" t="s">
        <v>13</v>
      </c>
      <c r="H255" t="s">
        <v>14</v>
      </c>
      <c r="I255" t="s">
        <v>30</v>
      </c>
    </row>
    <row r="256" spans="1:9" x14ac:dyDescent="0.35">
      <c r="A256">
        <v>255</v>
      </c>
      <c r="B256">
        <v>108</v>
      </c>
      <c r="C256">
        <v>1</v>
      </c>
      <c r="D256" s="1">
        <v>42036</v>
      </c>
      <c r="E256">
        <v>20.5</v>
      </c>
      <c r="F256">
        <v>20.5</v>
      </c>
      <c r="G256" t="s">
        <v>13</v>
      </c>
      <c r="H256" t="s">
        <v>10</v>
      </c>
      <c r="I256" t="s">
        <v>12</v>
      </c>
    </row>
    <row r="257" spans="1:9" x14ac:dyDescent="0.35">
      <c r="A257">
        <v>256</v>
      </c>
      <c r="B257">
        <v>108</v>
      </c>
      <c r="C257">
        <v>1</v>
      </c>
      <c r="D257" s="1">
        <v>42036</v>
      </c>
      <c r="E257">
        <v>16.5</v>
      </c>
      <c r="F257">
        <v>16.5</v>
      </c>
      <c r="G257" t="s">
        <v>13</v>
      </c>
      <c r="H257" t="s">
        <v>10</v>
      </c>
      <c r="I257" t="s">
        <v>11</v>
      </c>
    </row>
    <row r="258" spans="1:9" x14ac:dyDescent="0.35">
      <c r="A258">
        <v>257</v>
      </c>
      <c r="B258">
        <v>108</v>
      </c>
      <c r="C258">
        <v>1</v>
      </c>
      <c r="D258" s="1">
        <v>42036</v>
      </c>
      <c r="E258">
        <v>20.75</v>
      </c>
      <c r="F258">
        <v>20.75</v>
      </c>
      <c r="G258" t="s">
        <v>13</v>
      </c>
      <c r="H258" t="s">
        <v>16</v>
      </c>
      <c r="I258" t="s">
        <v>25</v>
      </c>
    </row>
    <row r="259" spans="1:9" x14ac:dyDescent="0.35">
      <c r="A259">
        <v>258</v>
      </c>
      <c r="B259">
        <v>109</v>
      </c>
      <c r="C259">
        <v>1</v>
      </c>
      <c r="D259" s="1">
        <v>42036</v>
      </c>
      <c r="E259">
        <v>20.5</v>
      </c>
      <c r="F259">
        <v>20.5</v>
      </c>
      <c r="G259" t="s">
        <v>13</v>
      </c>
      <c r="H259" t="s">
        <v>10</v>
      </c>
      <c r="I259" t="s">
        <v>27</v>
      </c>
    </row>
    <row r="260" spans="1:9" x14ac:dyDescent="0.35">
      <c r="A260">
        <v>259</v>
      </c>
      <c r="B260">
        <v>109</v>
      </c>
      <c r="C260">
        <v>1</v>
      </c>
      <c r="D260" s="1">
        <v>42036</v>
      </c>
      <c r="E260">
        <v>20.75</v>
      </c>
      <c r="F260">
        <v>20.75</v>
      </c>
      <c r="G260" t="s">
        <v>13</v>
      </c>
      <c r="H260" t="s">
        <v>16</v>
      </c>
      <c r="I260" t="s">
        <v>17</v>
      </c>
    </row>
    <row r="261" spans="1:9" x14ac:dyDescent="0.35">
      <c r="A261">
        <v>260</v>
      </c>
      <c r="B261">
        <v>109</v>
      </c>
      <c r="C261">
        <v>1</v>
      </c>
      <c r="D261" s="1">
        <v>42036</v>
      </c>
      <c r="E261">
        <v>12.5</v>
      </c>
      <c r="F261">
        <v>12.5</v>
      </c>
      <c r="G261" t="s">
        <v>9</v>
      </c>
      <c r="H261" t="s">
        <v>10</v>
      </c>
      <c r="I261" t="s">
        <v>33</v>
      </c>
    </row>
    <row r="262" spans="1:9" x14ac:dyDescent="0.35">
      <c r="A262">
        <v>261</v>
      </c>
      <c r="B262">
        <v>109</v>
      </c>
      <c r="C262">
        <v>1</v>
      </c>
      <c r="D262" s="1">
        <v>42036</v>
      </c>
      <c r="E262">
        <v>20.75</v>
      </c>
      <c r="F262">
        <v>20.75</v>
      </c>
      <c r="G262" t="s">
        <v>13</v>
      </c>
      <c r="H262" t="s">
        <v>16</v>
      </c>
      <c r="I262" t="s">
        <v>21</v>
      </c>
    </row>
    <row r="263" spans="1:9" x14ac:dyDescent="0.35">
      <c r="A263">
        <v>262</v>
      </c>
      <c r="B263">
        <v>110</v>
      </c>
      <c r="C263">
        <v>1</v>
      </c>
      <c r="D263" s="1">
        <v>42036</v>
      </c>
      <c r="E263">
        <v>12</v>
      </c>
      <c r="F263">
        <v>12</v>
      </c>
      <c r="G263" t="s">
        <v>22</v>
      </c>
      <c r="H263" t="s">
        <v>10</v>
      </c>
      <c r="I263" t="s">
        <v>35</v>
      </c>
    </row>
    <row r="264" spans="1:9" x14ac:dyDescent="0.35">
      <c r="A264">
        <v>263</v>
      </c>
      <c r="B264">
        <v>110</v>
      </c>
      <c r="C264">
        <v>1</v>
      </c>
      <c r="D264" s="1">
        <v>42036</v>
      </c>
      <c r="E264">
        <v>20.5</v>
      </c>
      <c r="F264">
        <v>20.5</v>
      </c>
      <c r="G264" t="s">
        <v>13</v>
      </c>
      <c r="H264" t="s">
        <v>10</v>
      </c>
      <c r="I264" t="s">
        <v>38</v>
      </c>
    </row>
    <row r="265" spans="1:9" x14ac:dyDescent="0.35">
      <c r="A265">
        <v>264</v>
      </c>
      <c r="B265">
        <v>110</v>
      </c>
      <c r="C265">
        <v>1</v>
      </c>
      <c r="D265" s="1">
        <v>42036</v>
      </c>
      <c r="E265">
        <v>20.75</v>
      </c>
      <c r="F265">
        <v>20.75</v>
      </c>
      <c r="G265" t="s">
        <v>13</v>
      </c>
      <c r="H265" t="s">
        <v>16</v>
      </c>
      <c r="I265" t="s">
        <v>36</v>
      </c>
    </row>
    <row r="266" spans="1:9" x14ac:dyDescent="0.35">
      <c r="A266">
        <v>265</v>
      </c>
      <c r="B266">
        <v>110</v>
      </c>
      <c r="C266">
        <v>1</v>
      </c>
      <c r="D266" s="1">
        <v>42036</v>
      </c>
      <c r="E266">
        <v>12.5</v>
      </c>
      <c r="F266">
        <v>12.5</v>
      </c>
      <c r="G266" t="s">
        <v>22</v>
      </c>
      <c r="H266" t="s">
        <v>16</v>
      </c>
      <c r="I266" t="s">
        <v>28</v>
      </c>
    </row>
    <row r="267" spans="1:9" x14ac:dyDescent="0.35">
      <c r="A267">
        <v>266</v>
      </c>
      <c r="B267">
        <v>111</v>
      </c>
      <c r="C267">
        <v>1</v>
      </c>
      <c r="D267" s="1">
        <v>42036</v>
      </c>
      <c r="E267">
        <v>16.75</v>
      </c>
      <c r="F267">
        <v>16.75</v>
      </c>
      <c r="G267" t="s">
        <v>9</v>
      </c>
      <c r="H267" t="s">
        <v>19</v>
      </c>
      <c r="I267" t="s">
        <v>32</v>
      </c>
    </row>
    <row r="268" spans="1:9" x14ac:dyDescent="0.35">
      <c r="A268">
        <v>267</v>
      </c>
      <c r="B268">
        <v>111</v>
      </c>
      <c r="C268">
        <v>1</v>
      </c>
      <c r="D268" s="1">
        <v>42036</v>
      </c>
      <c r="E268">
        <v>18.5</v>
      </c>
      <c r="F268">
        <v>18.5</v>
      </c>
      <c r="G268" t="s">
        <v>13</v>
      </c>
      <c r="H268" t="s">
        <v>14</v>
      </c>
      <c r="I268" t="s">
        <v>15</v>
      </c>
    </row>
    <row r="269" spans="1:9" x14ac:dyDescent="0.35">
      <c r="A269">
        <v>268</v>
      </c>
      <c r="B269">
        <v>111</v>
      </c>
      <c r="C269">
        <v>1</v>
      </c>
      <c r="D269" s="1">
        <v>42036</v>
      </c>
      <c r="E269">
        <v>12.5</v>
      </c>
      <c r="F269">
        <v>12.5</v>
      </c>
      <c r="G269" t="s">
        <v>9</v>
      </c>
      <c r="H269" t="s">
        <v>10</v>
      </c>
      <c r="I269" t="s">
        <v>33</v>
      </c>
    </row>
    <row r="270" spans="1:9" x14ac:dyDescent="0.35">
      <c r="A270">
        <v>269</v>
      </c>
      <c r="B270">
        <v>111</v>
      </c>
      <c r="C270">
        <v>1</v>
      </c>
      <c r="D270" s="1">
        <v>42036</v>
      </c>
      <c r="E270">
        <v>20.75</v>
      </c>
      <c r="F270">
        <v>20.75</v>
      </c>
      <c r="G270" t="s">
        <v>13</v>
      </c>
      <c r="H270" t="s">
        <v>14</v>
      </c>
      <c r="I270" t="s">
        <v>29</v>
      </c>
    </row>
    <row r="271" spans="1:9" x14ac:dyDescent="0.35">
      <c r="A271">
        <v>270</v>
      </c>
      <c r="B271">
        <v>112</v>
      </c>
      <c r="C271">
        <v>1</v>
      </c>
      <c r="D271" s="1">
        <v>42036</v>
      </c>
      <c r="E271">
        <v>9.75</v>
      </c>
      <c r="F271">
        <v>9.75</v>
      </c>
      <c r="G271" t="s">
        <v>22</v>
      </c>
      <c r="H271" t="s">
        <v>10</v>
      </c>
      <c r="I271" t="s">
        <v>33</v>
      </c>
    </row>
    <row r="272" spans="1:9" x14ac:dyDescent="0.35">
      <c r="A272">
        <v>271</v>
      </c>
      <c r="B272">
        <v>113</v>
      </c>
      <c r="C272">
        <v>1</v>
      </c>
      <c r="D272" s="1">
        <v>42036</v>
      </c>
      <c r="E272">
        <v>20.75</v>
      </c>
      <c r="F272">
        <v>20.75</v>
      </c>
      <c r="G272" t="s">
        <v>13</v>
      </c>
      <c r="H272" t="s">
        <v>19</v>
      </c>
      <c r="I272" t="s">
        <v>32</v>
      </c>
    </row>
    <row r="273" spans="1:9" x14ac:dyDescent="0.35">
      <c r="A273">
        <v>272</v>
      </c>
      <c r="B273">
        <v>113</v>
      </c>
      <c r="C273">
        <v>1</v>
      </c>
      <c r="D273" s="1">
        <v>42036</v>
      </c>
      <c r="E273">
        <v>20.25</v>
      </c>
      <c r="F273">
        <v>20.25</v>
      </c>
      <c r="G273" t="s">
        <v>13</v>
      </c>
      <c r="H273" t="s">
        <v>14</v>
      </c>
      <c r="I273" t="s">
        <v>18</v>
      </c>
    </row>
    <row r="274" spans="1:9" x14ac:dyDescent="0.35">
      <c r="A274">
        <v>273</v>
      </c>
      <c r="B274">
        <v>113</v>
      </c>
      <c r="C274">
        <v>1</v>
      </c>
      <c r="D274" s="1">
        <v>42036</v>
      </c>
      <c r="E274">
        <v>16.75</v>
      </c>
      <c r="F274">
        <v>16.75</v>
      </c>
      <c r="G274" t="s">
        <v>9</v>
      </c>
      <c r="H274" t="s">
        <v>19</v>
      </c>
      <c r="I274" t="s">
        <v>31</v>
      </c>
    </row>
    <row r="275" spans="1:9" x14ac:dyDescent="0.35">
      <c r="A275">
        <v>274</v>
      </c>
      <c r="B275">
        <v>114</v>
      </c>
      <c r="C275">
        <v>1</v>
      </c>
      <c r="D275" s="1">
        <v>42036</v>
      </c>
      <c r="E275">
        <v>15.25</v>
      </c>
      <c r="F275">
        <v>15.25</v>
      </c>
      <c r="G275" t="s">
        <v>13</v>
      </c>
      <c r="H275" t="s">
        <v>10</v>
      </c>
      <c r="I275" t="s">
        <v>33</v>
      </c>
    </row>
    <row r="276" spans="1:9" x14ac:dyDescent="0.35">
      <c r="A276">
        <v>275</v>
      </c>
      <c r="B276">
        <v>114</v>
      </c>
      <c r="C276">
        <v>1</v>
      </c>
      <c r="D276" s="1">
        <v>42036</v>
      </c>
      <c r="E276">
        <v>12.25</v>
      </c>
      <c r="F276">
        <v>12.25</v>
      </c>
      <c r="G276" t="s">
        <v>22</v>
      </c>
      <c r="H276" t="s">
        <v>16</v>
      </c>
      <c r="I276" t="s">
        <v>44</v>
      </c>
    </row>
    <row r="277" spans="1:9" x14ac:dyDescent="0.35">
      <c r="A277">
        <v>276</v>
      </c>
      <c r="B277">
        <v>115</v>
      </c>
      <c r="C277">
        <v>1</v>
      </c>
      <c r="D277" s="1">
        <v>42036</v>
      </c>
      <c r="E277">
        <v>12</v>
      </c>
      <c r="F277">
        <v>12</v>
      </c>
      <c r="G277" t="s">
        <v>22</v>
      </c>
      <c r="H277" t="s">
        <v>10</v>
      </c>
      <c r="I277" t="s">
        <v>35</v>
      </c>
    </row>
    <row r="278" spans="1:9" x14ac:dyDescent="0.35">
      <c r="A278">
        <v>277</v>
      </c>
      <c r="B278">
        <v>115</v>
      </c>
      <c r="C278">
        <v>1</v>
      </c>
      <c r="D278" s="1">
        <v>42036</v>
      </c>
      <c r="E278">
        <v>20.5</v>
      </c>
      <c r="F278">
        <v>20.5</v>
      </c>
      <c r="G278" t="s">
        <v>13</v>
      </c>
      <c r="H278" t="s">
        <v>10</v>
      </c>
      <c r="I278" t="s">
        <v>38</v>
      </c>
    </row>
    <row r="279" spans="1:9" x14ac:dyDescent="0.35">
      <c r="A279">
        <v>278</v>
      </c>
      <c r="B279">
        <v>115</v>
      </c>
      <c r="C279">
        <v>1</v>
      </c>
      <c r="D279" s="1">
        <v>42036</v>
      </c>
      <c r="E279">
        <v>16.75</v>
      </c>
      <c r="F279">
        <v>16.75</v>
      </c>
      <c r="G279" t="s">
        <v>9</v>
      </c>
      <c r="H279" t="s">
        <v>19</v>
      </c>
      <c r="I279" t="s">
        <v>20</v>
      </c>
    </row>
    <row r="280" spans="1:9" x14ac:dyDescent="0.35">
      <c r="A280">
        <v>279</v>
      </c>
      <c r="B280">
        <v>116</v>
      </c>
      <c r="C280">
        <v>1</v>
      </c>
      <c r="D280" s="1">
        <v>42036</v>
      </c>
      <c r="E280">
        <v>18.5</v>
      </c>
      <c r="F280">
        <v>18.5</v>
      </c>
      <c r="G280" t="s">
        <v>13</v>
      </c>
      <c r="H280" t="s">
        <v>14</v>
      </c>
      <c r="I280" t="s">
        <v>15</v>
      </c>
    </row>
    <row r="281" spans="1:9" x14ac:dyDescent="0.35">
      <c r="A281">
        <v>280</v>
      </c>
      <c r="B281">
        <v>117</v>
      </c>
      <c r="C281">
        <v>1</v>
      </c>
      <c r="D281" s="1">
        <v>42036</v>
      </c>
      <c r="E281">
        <v>16.5</v>
      </c>
      <c r="F281">
        <v>16.5</v>
      </c>
      <c r="G281" t="s">
        <v>9</v>
      </c>
      <c r="H281" t="s">
        <v>16</v>
      </c>
      <c r="I281" t="s">
        <v>42</v>
      </c>
    </row>
    <row r="282" spans="1:9" x14ac:dyDescent="0.35">
      <c r="A282">
        <v>281</v>
      </c>
      <c r="B282">
        <v>117</v>
      </c>
      <c r="C282">
        <v>1</v>
      </c>
      <c r="D282" s="1">
        <v>42036</v>
      </c>
      <c r="E282">
        <v>20.25</v>
      </c>
      <c r="F282">
        <v>20.25</v>
      </c>
      <c r="G282" t="s">
        <v>13</v>
      </c>
      <c r="H282" t="s">
        <v>16</v>
      </c>
      <c r="I282" t="s">
        <v>44</v>
      </c>
    </row>
    <row r="283" spans="1:9" x14ac:dyDescent="0.35">
      <c r="A283">
        <v>282</v>
      </c>
      <c r="B283">
        <v>118</v>
      </c>
      <c r="C283">
        <v>1</v>
      </c>
      <c r="D283" s="1">
        <v>42036</v>
      </c>
      <c r="E283">
        <v>20.75</v>
      </c>
      <c r="F283">
        <v>20.75</v>
      </c>
      <c r="G283" t="s">
        <v>13</v>
      </c>
      <c r="H283" t="s">
        <v>16</v>
      </c>
      <c r="I283" t="s">
        <v>21</v>
      </c>
    </row>
    <row r="284" spans="1:9" x14ac:dyDescent="0.35">
      <c r="A284">
        <v>283</v>
      </c>
      <c r="B284">
        <v>118</v>
      </c>
      <c r="C284">
        <v>1</v>
      </c>
      <c r="D284" s="1">
        <v>42036</v>
      </c>
      <c r="E284">
        <v>12</v>
      </c>
      <c r="F284">
        <v>12</v>
      </c>
      <c r="G284" t="s">
        <v>22</v>
      </c>
      <c r="H284" t="s">
        <v>14</v>
      </c>
      <c r="I284" t="s">
        <v>43</v>
      </c>
    </row>
    <row r="285" spans="1:9" x14ac:dyDescent="0.35">
      <c r="A285">
        <v>284</v>
      </c>
      <c r="B285">
        <v>119</v>
      </c>
      <c r="C285">
        <v>1</v>
      </c>
      <c r="D285" s="1">
        <v>42036</v>
      </c>
      <c r="E285">
        <v>14.75</v>
      </c>
      <c r="F285">
        <v>14.75</v>
      </c>
      <c r="G285" t="s">
        <v>9</v>
      </c>
      <c r="H285" t="s">
        <v>14</v>
      </c>
      <c r="I285" t="s">
        <v>37</v>
      </c>
    </row>
    <row r="286" spans="1:9" x14ac:dyDescent="0.35">
      <c r="A286">
        <v>285</v>
      </c>
      <c r="B286">
        <v>120</v>
      </c>
      <c r="C286">
        <v>1</v>
      </c>
      <c r="D286" s="1">
        <v>42036</v>
      </c>
      <c r="E286">
        <v>12</v>
      </c>
      <c r="F286">
        <v>12</v>
      </c>
      <c r="G286" t="s">
        <v>22</v>
      </c>
      <c r="H286" t="s">
        <v>10</v>
      </c>
      <c r="I286" t="s">
        <v>12</v>
      </c>
    </row>
    <row r="287" spans="1:9" x14ac:dyDescent="0.35">
      <c r="A287">
        <v>286</v>
      </c>
      <c r="B287">
        <v>120</v>
      </c>
      <c r="C287">
        <v>1</v>
      </c>
      <c r="D287" s="1">
        <v>42036</v>
      </c>
      <c r="E287">
        <v>10.5</v>
      </c>
      <c r="F287">
        <v>10.5</v>
      </c>
      <c r="G287" t="s">
        <v>22</v>
      </c>
      <c r="H287" t="s">
        <v>10</v>
      </c>
      <c r="I287" t="s">
        <v>11</v>
      </c>
    </row>
    <row r="288" spans="1:9" x14ac:dyDescent="0.35">
      <c r="A288">
        <v>287</v>
      </c>
      <c r="B288">
        <v>120</v>
      </c>
      <c r="C288">
        <v>1</v>
      </c>
      <c r="D288" s="1">
        <v>42036</v>
      </c>
      <c r="E288">
        <v>20.25</v>
      </c>
      <c r="F288">
        <v>20.25</v>
      </c>
      <c r="G288" t="s">
        <v>13</v>
      </c>
      <c r="H288" t="s">
        <v>14</v>
      </c>
      <c r="I288" t="s">
        <v>43</v>
      </c>
    </row>
    <row r="289" spans="1:9" x14ac:dyDescent="0.35">
      <c r="A289">
        <v>288</v>
      </c>
      <c r="B289">
        <v>121</v>
      </c>
      <c r="C289">
        <v>1</v>
      </c>
      <c r="D289" s="1">
        <v>42036</v>
      </c>
      <c r="E289">
        <v>16.75</v>
      </c>
      <c r="F289">
        <v>16.75</v>
      </c>
      <c r="G289" t="s">
        <v>9</v>
      </c>
      <c r="H289" t="s">
        <v>19</v>
      </c>
      <c r="I289" t="s">
        <v>23</v>
      </c>
    </row>
    <row r="290" spans="1:9" x14ac:dyDescent="0.35">
      <c r="A290">
        <v>289</v>
      </c>
      <c r="B290">
        <v>121</v>
      </c>
      <c r="C290">
        <v>1</v>
      </c>
      <c r="D290" s="1">
        <v>42036</v>
      </c>
      <c r="E290">
        <v>17.95</v>
      </c>
      <c r="F290">
        <v>17.95</v>
      </c>
      <c r="G290" t="s">
        <v>13</v>
      </c>
      <c r="H290" t="s">
        <v>14</v>
      </c>
      <c r="I290" t="s">
        <v>37</v>
      </c>
    </row>
    <row r="291" spans="1:9" x14ac:dyDescent="0.35">
      <c r="A291">
        <v>290</v>
      </c>
      <c r="B291">
        <v>121</v>
      </c>
      <c r="C291">
        <v>1</v>
      </c>
      <c r="D291" s="1">
        <v>42036</v>
      </c>
      <c r="E291">
        <v>20.25</v>
      </c>
      <c r="F291">
        <v>20.25</v>
      </c>
      <c r="G291" t="s">
        <v>13</v>
      </c>
      <c r="H291" t="s">
        <v>16</v>
      </c>
      <c r="I291" t="s">
        <v>44</v>
      </c>
    </row>
    <row r="292" spans="1:9" x14ac:dyDescent="0.35">
      <c r="A292">
        <v>291</v>
      </c>
      <c r="B292">
        <v>121</v>
      </c>
      <c r="C292">
        <v>1</v>
      </c>
      <c r="D292" s="1">
        <v>42036</v>
      </c>
      <c r="E292">
        <v>20.75</v>
      </c>
      <c r="F292">
        <v>20.75</v>
      </c>
      <c r="G292" t="s">
        <v>13</v>
      </c>
      <c r="H292" t="s">
        <v>19</v>
      </c>
      <c r="I292" t="s">
        <v>31</v>
      </c>
    </row>
    <row r="293" spans="1:9" x14ac:dyDescent="0.35">
      <c r="A293">
        <v>292</v>
      </c>
      <c r="B293">
        <v>122</v>
      </c>
      <c r="C293">
        <v>1</v>
      </c>
      <c r="D293" s="1">
        <v>42036</v>
      </c>
      <c r="E293">
        <v>16.5</v>
      </c>
      <c r="F293">
        <v>16.5</v>
      </c>
      <c r="G293" t="s">
        <v>9</v>
      </c>
      <c r="H293" t="s">
        <v>16</v>
      </c>
      <c r="I293" t="s">
        <v>17</v>
      </c>
    </row>
    <row r="294" spans="1:9" x14ac:dyDescent="0.35">
      <c r="A294">
        <v>293</v>
      </c>
      <c r="B294">
        <v>123</v>
      </c>
      <c r="C294">
        <v>1</v>
      </c>
      <c r="D294" s="1">
        <v>42036</v>
      </c>
      <c r="E294">
        <v>12</v>
      </c>
      <c r="F294">
        <v>12</v>
      </c>
      <c r="G294" t="s">
        <v>22</v>
      </c>
      <c r="H294" t="s">
        <v>10</v>
      </c>
      <c r="I294" t="s">
        <v>27</v>
      </c>
    </row>
    <row r="295" spans="1:9" x14ac:dyDescent="0.35">
      <c r="A295">
        <v>294</v>
      </c>
      <c r="B295">
        <v>124</v>
      </c>
      <c r="C295">
        <v>1</v>
      </c>
      <c r="D295" s="1">
        <v>42036</v>
      </c>
      <c r="E295">
        <v>12.75</v>
      </c>
      <c r="F295">
        <v>12.75</v>
      </c>
      <c r="G295" t="s">
        <v>22</v>
      </c>
      <c r="H295" t="s">
        <v>19</v>
      </c>
      <c r="I295" t="s">
        <v>23</v>
      </c>
    </row>
    <row r="296" spans="1:9" x14ac:dyDescent="0.35">
      <c r="A296">
        <v>295</v>
      </c>
      <c r="B296">
        <v>124</v>
      </c>
      <c r="C296">
        <v>1</v>
      </c>
      <c r="D296" s="1">
        <v>42036</v>
      </c>
      <c r="E296">
        <v>20.25</v>
      </c>
      <c r="F296">
        <v>20.25</v>
      </c>
      <c r="G296" t="s">
        <v>13</v>
      </c>
      <c r="H296" t="s">
        <v>16</v>
      </c>
      <c r="I296" t="s">
        <v>44</v>
      </c>
    </row>
    <row r="297" spans="1:9" x14ac:dyDescent="0.35">
      <c r="A297">
        <v>296</v>
      </c>
      <c r="B297">
        <v>124</v>
      </c>
      <c r="C297">
        <v>1</v>
      </c>
      <c r="D297" s="1">
        <v>42036</v>
      </c>
      <c r="E297">
        <v>20.75</v>
      </c>
      <c r="F297">
        <v>20.75</v>
      </c>
      <c r="G297" t="s">
        <v>13</v>
      </c>
      <c r="H297" t="s">
        <v>16</v>
      </c>
      <c r="I297" t="s">
        <v>28</v>
      </c>
    </row>
    <row r="298" spans="1:9" x14ac:dyDescent="0.35">
      <c r="A298">
        <v>297</v>
      </c>
      <c r="B298">
        <v>124</v>
      </c>
      <c r="C298">
        <v>1</v>
      </c>
      <c r="D298" s="1">
        <v>42036</v>
      </c>
      <c r="E298">
        <v>12</v>
      </c>
      <c r="F298">
        <v>12</v>
      </c>
      <c r="G298" t="s">
        <v>22</v>
      </c>
      <c r="H298" t="s">
        <v>10</v>
      </c>
      <c r="I298" t="s">
        <v>24</v>
      </c>
    </row>
    <row r="299" spans="1:9" x14ac:dyDescent="0.35">
      <c r="A299">
        <v>298</v>
      </c>
      <c r="B299">
        <v>125</v>
      </c>
      <c r="C299">
        <v>1</v>
      </c>
      <c r="D299" s="1">
        <v>42036</v>
      </c>
      <c r="E299">
        <v>25.5</v>
      </c>
      <c r="F299">
        <v>25.5</v>
      </c>
      <c r="G299" t="s">
        <v>47</v>
      </c>
      <c r="H299" t="s">
        <v>10</v>
      </c>
      <c r="I299" t="s">
        <v>24</v>
      </c>
    </row>
    <row r="300" spans="1:9" x14ac:dyDescent="0.35">
      <c r="A300">
        <v>299</v>
      </c>
      <c r="B300">
        <v>126</v>
      </c>
      <c r="C300">
        <v>1</v>
      </c>
      <c r="D300" s="1">
        <v>42036</v>
      </c>
      <c r="E300">
        <v>20.25</v>
      </c>
      <c r="F300">
        <v>20.25</v>
      </c>
      <c r="G300" t="s">
        <v>13</v>
      </c>
      <c r="H300" t="s">
        <v>14</v>
      </c>
      <c r="I300" t="s">
        <v>30</v>
      </c>
    </row>
    <row r="301" spans="1:9" x14ac:dyDescent="0.35">
      <c r="A301">
        <v>300</v>
      </c>
      <c r="B301">
        <v>127</v>
      </c>
      <c r="C301">
        <v>1</v>
      </c>
      <c r="D301" s="1">
        <v>42036</v>
      </c>
      <c r="E301">
        <v>12.5</v>
      </c>
      <c r="F301">
        <v>12.5</v>
      </c>
      <c r="G301" t="s">
        <v>9</v>
      </c>
      <c r="H301" t="s">
        <v>10</v>
      </c>
      <c r="I301" t="s">
        <v>33</v>
      </c>
    </row>
    <row r="302" spans="1:9" x14ac:dyDescent="0.35">
      <c r="A302">
        <v>301</v>
      </c>
      <c r="B302">
        <v>128</v>
      </c>
      <c r="C302">
        <v>1</v>
      </c>
      <c r="D302" s="1">
        <v>42036</v>
      </c>
      <c r="E302">
        <v>12.5</v>
      </c>
      <c r="F302">
        <v>12.5</v>
      </c>
      <c r="G302" t="s">
        <v>22</v>
      </c>
      <c r="H302" t="s">
        <v>16</v>
      </c>
      <c r="I302" t="s">
        <v>28</v>
      </c>
    </row>
    <row r="303" spans="1:9" x14ac:dyDescent="0.35">
      <c r="A303">
        <v>302</v>
      </c>
      <c r="B303">
        <v>129</v>
      </c>
      <c r="C303">
        <v>1</v>
      </c>
      <c r="D303" s="1">
        <v>42036</v>
      </c>
      <c r="E303">
        <v>12</v>
      </c>
      <c r="F303">
        <v>12</v>
      </c>
      <c r="G303" t="s">
        <v>22</v>
      </c>
      <c r="H303" t="s">
        <v>10</v>
      </c>
      <c r="I303" t="s">
        <v>35</v>
      </c>
    </row>
    <row r="304" spans="1:9" x14ac:dyDescent="0.35">
      <c r="A304">
        <v>303</v>
      </c>
      <c r="B304">
        <v>129</v>
      </c>
      <c r="C304">
        <v>1</v>
      </c>
      <c r="D304" s="1">
        <v>42036</v>
      </c>
      <c r="E304">
        <v>16</v>
      </c>
      <c r="F304">
        <v>16</v>
      </c>
      <c r="G304" t="s">
        <v>9</v>
      </c>
      <c r="H304" t="s">
        <v>10</v>
      </c>
      <c r="I304" t="s">
        <v>24</v>
      </c>
    </row>
    <row r="305" spans="1:9" x14ac:dyDescent="0.35">
      <c r="A305">
        <v>304</v>
      </c>
      <c r="B305">
        <v>130</v>
      </c>
      <c r="C305">
        <v>1</v>
      </c>
      <c r="D305" s="1">
        <v>42036</v>
      </c>
      <c r="E305">
        <v>10.5</v>
      </c>
      <c r="F305">
        <v>10.5</v>
      </c>
      <c r="G305" t="s">
        <v>22</v>
      </c>
      <c r="H305" t="s">
        <v>10</v>
      </c>
      <c r="I305" t="s">
        <v>11</v>
      </c>
    </row>
    <row r="306" spans="1:9" x14ac:dyDescent="0.35">
      <c r="A306">
        <v>305</v>
      </c>
      <c r="B306">
        <v>130</v>
      </c>
      <c r="C306">
        <v>1</v>
      </c>
      <c r="D306" s="1">
        <v>42036</v>
      </c>
      <c r="E306">
        <v>20.5</v>
      </c>
      <c r="F306">
        <v>20.5</v>
      </c>
      <c r="G306" t="s">
        <v>13</v>
      </c>
      <c r="H306" t="s">
        <v>10</v>
      </c>
      <c r="I306" t="s">
        <v>27</v>
      </c>
    </row>
    <row r="307" spans="1:9" x14ac:dyDescent="0.35">
      <c r="A307">
        <v>306</v>
      </c>
      <c r="B307">
        <v>130</v>
      </c>
      <c r="C307">
        <v>1</v>
      </c>
      <c r="D307" s="1">
        <v>42036</v>
      </c>
      <c r="E307">
        <v>16</v>
      </c>
      <c r="F307">
        <v>16</v>
      </c>
      <c r="G307" t="s">
        <v>9</v>
      </c>
      <c r="H307" t="s">
        <v>14</v>
      </c>
      <c r="I307" t="s">
        <v>18</v>
      </c>
    </row>
    <row r="308" spans="1:9" x14ac:dyDescent="0.35">
      <c r="A308">
        <v>307</v>
      </c>
      <c r="B308">
        <v>130</v>
      </c>
      <c r="C308">
        <v>1</v>
      </c>
      <c r="D308" s="1">
        <v>42036</v>
      </c>
      <c r="E308">
        <v>12.75</v>
      </c>
      <c r="F308">
        <v>12.75</v>
      </c>
      <c r="G308" t="s">
        <v>22</v>
      </c>
      <c r="H308" t="s">
        <v>19</v>
      </c>
      <c r="I308" t="s">
        <v>31</v>
      </c>
    </row>
    <row r="309" spans="1:9" x14ac:dyDescent="0.35">
      <c r="A309">
        <v>308</v>
      </c>
      <c r="B309">
        <v>131</v>
      </c>
      <c r="C309">
        <v>1</v>
      </c>
      <c r="D309" s="1">
        <v>42036</v>
      </c>
      <c r="E309">
        <v>20.75</v>
      </c>
      <c r="F309">
        <v>20.75</v>
      </c>
      <c r="G309" t="s">
        <v>13</v>
      </c>
      <c r="H309" t="s">
        <v>19</v>
      </c>
      <c r="I309" t="s">
        <v>34</v>
      </c>
    </row>
    <row r="310" spans="1:9" x14ac:dyDescent="0.35">
      <c r="A310">
        <v>309</v>
      </c>
      <c r="B310">
        <v>131</v>
      </c>
      <c r="C310">
        <v>1</v>
      </c>
      <c r="D310" s="1">
        <v>42036</v>
      </c>
      <c r="E310">
        <v>18.5</v>
      </c>
      <c r="F310">
        <v>18.5</v>
      </c>
      <c r="G310" t="s">
        <v>13</v>
      </c>
      <c r="H310" t="s">
        <v>14</v>
      </c>
      <c r="I310" t="s">
        <v>15</v>
      </c>
    </row>
    <row r="311" spans="1:9" x14ac:dyDescent="0.35">
      <c r="A311">
        <v>310</v>
      </c>
      <c r="B311">
        <v>131</v>
      </c>
      <c r="C311">
        <v>1</v>
      </c>
      <c r="D311" s="1">
        <v>42036</v>
      </c>
      <c r="E311">
        <v>12</v>
      </c>
      <c r="F311">
        <v>12</v>
      </c>
      <c r="G311" t="s">
        <v>22</v>
      </c>
      <c r="H311" t="s">
        <v>14</v>
      </c>
      <c r="I311" t="s">
        <v>26</v>
      </c>
    </row>
    <row r="312" spans="1:9" x14ac:dyDescent="0.35">
      <c r="A312">
        <v>311</v>
      </c>
      <c r="B312">
        <v>131</v>
      </c>
      <c r="C312">
        <v>1</v>
      </c>
      <c r="D312" s="1">
        <v>42036</v>
      </c>
      <c r="E312">
        <v>12.5</v>
      </c>
      <c r="F312">
        <v>12.5</v>
      </c>
      <c r="G312" t="s">
        <v>22</v>
      </c>
      <c r="H312" t="s">
        <v>16</v>
      </c>
      <c r="I312" t="s">
        <v>25</v>
      </c>
    </row>
    <row r="313" spans="1:9" x14ac:dyDescent="0.35">
      <c r="A313">
        <v>312</v>
      </c>
      <c r="B313">
        <v>132</v>
      </c>
      <c r="C313">
        <v>1</v>
      </c>
      <c r="D313" s="1">
        <v>42036</v>
      </c>
      <c r="E313">
        <v>9.75</v>
      </c>
      <c r="F313">
        <v>9.75</v>
      </c>
      <c r="G313" t="s">
        <v>22</v>
      </c>
      <c r="H313" t="s">
        <v>10</v>
      </c>
      <c r="I313" t="s">
        <v>33</v>
      </c>
    </row>
    <row r="314" spans="1:9" x14ac:dyDescent="0.35">
      <c r="A314">
        <v>313</v>
      </c>
      <c r="B314">
        <v>133</v>
      </c>
      <c r="C314">
        <v>1</v>
      </c>
      <c r="D314" s="1">
        <v>42036</v>
      </c>
      <c r="E314">
        <v>20.75</v>
      </c>
      <c r="F314">
        <v>20.75</v>
      </c>
      <c r="G314" t="s">
        <v>13</v>
      </c>
      <c r="H314" t="s">
        <v>19</v>
      </c>
      <c r="I314" t="s">
        <v>23</v>
      </c>
    </row>
    <row r="315" spans="1:9" x14ac:dyDescent="0.35">
      <c r="A315">
        <v>314</v>
      </c>
      <c r="B315">
        <v>133</v>
      </c>
      <c r="C315">
        <v>1</v>
      </c>
      <c r="D315" s="1">
        <v>42036</v>
      </c>
      <c r="E315">
        <v>16.5</v>
      </c>
      <c r="F315">
        <v>16.5</v>
      </c>
      <c r="G315" t="s">
        <v>13</v>
      </c>
      <c r="H315" t="s">
        <v>10</v>
      </c>
      <c r="I315" t="s">
        <v>11</v>
      </c>
    </row>
    <row r="316" spans="1:9" x14ac:dyDescent="0.35">
      <c r="A316">
        <v>315</v>
      </c>
      <c r="B316">
        <v>133</v>
      </c>
      <c r="C316">
        <v>1</v>
      </c>
      <c r="D316" s="1">
        <v>42036</v>
      </c>
      <c r="E316">
        <v>12</v>
      </c>
      <c r="F316">
        <v>12</v>
      </c>
      <c r="G316" t="s">
        <v>22</v>
      </c>
      <c r="H316" t="s">
        <v>10</v>
      </c>
      <c r="I316" t="s">
        <v>24</v>
      </c>
    </row>
    <row r="317" spans="1:9" x14ac:dyDescent="0.35">
      <c r="A317">
        <v>316</v>
      </c>
      <c r="B317">
        <v>134</v>
      </c>
      <c r="C317">
        <v>1</v>
      </c>
      <c r="D317" s="1">
        <v>42036</v>
      </c>
      <c r="E317">
        <v>12</v>
      </c>
      <c r="F317">
        <v>12</v>
      </c>
      <c r="G317" t="s">
        <v>22</v>
      </c>
      <c r="H317" t="s">
        <v>10</v>
      </c>
      <c r="I317" t="s">
        <v>35</v>
      </c>
    </row>
    <row r="318" spans="1:9" x14ac:dyDescent="0.35">
      <c r="A318">
        <v>317</v>
      </c>
      <c r="B318">
        <v>134</v>
      </c>
      <c r="C318">
        <v>1</v>
      </c>
      <c r="D318" s="1">
        <v>42036</v>
      </c>
      <c r="E318">
        <v>20.75</v>
      </c>
      <c r="F318">
        <v>20.75</v>
      </c>
      <c r="G318" t="s">
        <v>13</v>
      </c>
      <c r="H318" t="s">
        <v>19</v>
      </c>
      <c r="I318" t="s">
        <v>31</v>
      </c>
    </row>
    <row r="319" spans="1:9" x14ac:dyDescent="0.35">
      <c r="A319">
        <v>318</v>
      </c>
      <c r="B319">
        <v>134</v>
      </c>
      <c r="C319">
        <v>1</v>
      </c>
      <c r="D319" s="1">
        <v>42036</v>
      </c>
      <c r="E319">
        <v>12.5</v>
      </c>
      <c r="F319">
        <v>12.5</v>
      </c>
      <c r="G319" t="s">
        <v>22</v>
      </c>
      <c r="H319" t="s">
        <v>16</v>
      </c>
      <c r="I319" t="s">
        <v>25</v>
      </c>
    </row>
    <row r="320" spans="1:9" x14ac:dyDescent="0.35">
      <c r="A320">
        <v>319</v>
      </c>
      <c r="B320">
        <v>135</v>
      </c>
      <c r="C320">
        <v>1</v>
      </c>
      <c r="D320" s="1">
        <v>42036</v>
      </c>
      <c r="E320">
        <v>20.25</v>
      </c>
      <c r="F320">
        <v>20.25</v>
      </c>
      <c r="G320" t="s">
        <v>13</v>
      </c>
      <c r="H320" t="s">
        <v>14</v>
      </c>
      <c r="I320" t="s">
        <v>30</v>
      </c>
    </row>
    <row r="321" spans="1:9" x14ac:dyDescent="0.35">
      <c r="A321">
        <v>320</v>
      </c>
      <c r="B321">
        <v>136</v>
      </c>
      <c r="C321">
        <v>1</v>
      </c>
      <c r="D321" s="1">
        <v>42036</v>
      </c>
      <c r="E321">
        <v>18.5</v>
      </c>
      <c r="F321">
        <v>18.5</v>
      </c>
      <c r="G321" t="s">
        <v>13</v>
      </c>
      <c r="H321" t="s">
        <v>14</v>
      </c>
      <c r="I321" t="s">
        <v>15</v>
      </c>
    </row>
    <row r="322" spans="1:9" x14ac:dyDescent="0.35">
      <c r="A322">
        <v>321</v>
      </c>
      <c r="B322">
        <v>136</v>
      </c>
      <c r="C322">
        <v>1</v>
      </c>
      <c r="D322" s="1">
        <v>42036</v>
      </c>
      <c r="E322">
        <v>12.5</v>
      </c>
      <c r="F322">
        <v>12.5</v>
      </c>
      <c r="G322" t="s">
        <v>22</v>
      </c>
      <c r="H322" t="s">
        <v>16</v>
      </c>
      <c r="I322" t="s">
        <v>42</v>
      </c>
    </row>
    <row r="323" spans="1:9" x14ac:dyDescent="0.35">
      <c r="A323">
        <v>322</v>
      </c>
      <c r="B323">
        <v>137</v>
      </c>
      <c r="C323">
        <v>1</v>
      </c>
      <c r="D323" s="1">
        <v>42064</v>
      </c>
      <c r="E323">
        <v>20.25</v>
      </c>
      <c r="F323">
        <v>20.25</v>
      </c>
      <c r="G323" t="s">
        <v>13</v>
      </c>
      <c r="H323" t="s">
        <v>14</v>
      </c>
      <c r="I323" t="s">
        <v>41</v>
      </c>
    </row>
    <row r="324" spans="1:9" x14ac:dyDescent="0.35">
      <c r="A324">
        <v>323</v>
      </c>
      <c r="B324">
        <v>137</v>
      </c>
      <c r="C324">
        <v>1</v>
      </c>
      <c r="D324" s="1">
        <v>42064</v>
      </c>
      <c r="E324">
        <v>9.75</v>
      </c>
      <c r="F324">
        <v>9.75</v>
      </c>
      <c r="G324" t="s">
        <v>22</v>
      </c>
      <c r="H324" t="s">
        <v>10</v>
      </c>
      <c r="I324" t="s">
        <v>33</v>
      </c>
    </row>
    <row r="325" spans="1:9" x14ac:dyDescent="0.35">
      <c r="A325">
        <v>324</v>
      </c>
      <c r="B325">
        <v>137</v>
      </c>
      <c r="C325">
        <v>1</v>
      </c>
      <c r="D325" s="1">
        <v>42064</v>
      </c>
      <c r="E325">
        <v>16.5</v>
      </c>
      <c r="F325">
        <v>16.5</v>
      </c>
      <c r="G325" t="s">
        <v>9</v>
      </c>
      <c r="H325" t="s">
        <v>16</v>
      </c>
      <c r="I325" t="s">
        <v>28</v>
      </c>
    </row>
    <row r="326" spans="1:9" x14ac:dyDescent="0.35">
      <c r="A326">
        <v>325</v>
      </c>
      <c r="B326">
        <v>138</v>
      </c>
      <c r="C326">
        <v>1</v>
      </c>
      <c r="D326" s="1">
        <v>42064</v>
      </c>
      <c r="E326">
        <v>16.75</v>
      </c>
      <c r="F326">
        <v>16.75</v>
      </c>
      <c r="G326" t="s">
        <v>9</v>
      </c>
      <c r="H326" t="s">
        <v>19</v>
      </c>
      <c r="I326" t="s">
        <v>32</v>
      </c>
    </row>
    <row r="327" spans="1:9" x14ac:dyDescent="0.35">
      <c r="A327">
        <v>326</v>
      </c>
      <c r="B327">
        <v>138</v>
      </c>
      <c r="C327">
        <v>1</v>
      </c>
      <c r="D327" s="1">
        <v>42064</v>
      </c>
      <c r="E327">
        <v>17.95</v>
      </c>
      <c r="F327">
        <v>17.95</v>
      </c>
      <c r="G327" t="s">
        <v>13</v>
      </c>
      <c r="H327" t="s">
        <v>14</v>
      </c>
      <c r="I327" t="s">
        <v>37</v>
      </c>
    </row>
    <row r="328" spans="1:9" x14ac:dyDescent="0.35">
      <c r="A328">
        <v>327</v>
      </c>
      <c r="B328">
        <v>138</v>
      </c>
      <c r="C328">
        <v>1</v>
      </c>
      <c r="D328" s="1">
        <v>42064</v>
      </c>
      <c r="E328">
        <v>21</v>
      </c>
      <c r="F328">
        <v>21</v>
      </c>
      <c r="G328" t="s">
        <v>13</v>
      </c>
      <c r="H328" t="s">
        <v>14</v>
      </c>
      <c r="I328" t="s">
        <v>40</v>
      </c>
    </row>
    <row r="329" spans="1:9" x14ac:dyDescent="0.35">
      <c r="A329">
        <v>328</v>
      </c>
      <c r="B329">
        <v>138</v>
      </c>
      <c r="C329">
        <v>1</v>
      </c>
      <c r="D329" s="1">
        <v>42064</v>
      </c>
      <c r="E329">
        <v>16.25</v>
      </c>
      <c r="F329">
        <v>16.25</v>
      </c>
      <c r="G329" t="s">
        <v>9</v>
      </c>
      <c r="H329" t="s">
        <v>16</v>
      </c>
      <c r="I329" t="s">
        <v>44</v>
      </c>
    </row>
    <row r="330" spans="1:9" x14ac:dyDescent="0.35">
      <c r="A330">
        <v>329</v>
      </c>
      <c r="B330">
        <v>139</v>
      </c>
      <c r="C330">
        <v>1</v>
      </c>
      <c r="D330" s="1">
        <v>42064</v>
      </c>
      <c r="E330">
        <v>18.5</v>
      </c>
      <c r="F330">
        <v>18.5</v>
      </c>
      <c r="G330" t="s">
        <v>13</v>
      </c>
      <c r="H330" t="s">
        <v>14</v>
      </c>
      <c r="I330" t="s">
        <v>15</v>
      </c>
    </row>
    <row r="331" spans="1:9" x14ac:dyDescent="0.35">
      <c r="A331">
        <v>330</v>
      </c>
      <c r="B331">
        <v>140</v>
      </c>
      <c r="C331">
        <v>1</v>
      </c>
      <c r="D331" s="1">
        <v>42064</v>
      </c>
      <c r="E331">
        <v>12.5</v>
      </c>
      <c r="F331">
        <v>12.5</v>
      </c>
      <c r="G331" t="s">
        <v>22</v>
      </c>
      <c r="H331" t="s">
        <v>16</v>
      </c>
      <c r="I331" t="s">
        <v>21</v>
      </c>
    </row>
    <row r="332" spans="1:9" x14ac:dyDescent="0.35">
      <c r="A332">
        <v>331</v>
      </c>
      <c r="B332">
        <v>140</v>
      </c>
      <c r="C332">
        <v>1</v>
      </c>
      <c r="D332" s="1">
        <v>42064</v>
      </c>
      <c r="E332">
        <v>16</v>
      </c>
      <c r="F332">
        <v>16</v>
      </c>
      <c r="G332" t="s">
        <v>9</v>
      </c>
      <c r="H332" t="s">
        <v>14</v>
      </c>
      <c r="I332" t="s">
        <v>30</v>
      </c>
    </row>
    <row r="333" spans="1:9" x14ac:dyDescent="0.35">
      <c r="A333">
        <v>332</v>
      </c>
      <c r="B333">
        <v>141</v>
      </c>
      <c r="C333">
        <v>1</v>
      </c>
      <c r="D333" s="1">
        <v>42064</v>
      </c>
      <c r="E333">
        <v>16</v>
      </c>
      <c r="F333">
        <v>16</v>
      </c>
      <c r="G333" t="s">
        <v>9</v>
      </c>
      <c r="H333" t="s">
        <v>10</v>
      </c>
      <c r="I333" t="s">
        <v>12</v>
      </c>
    </row>
    <row r="334" spans="1:9" x14ac:dyDescent="0.35">
      <c r="A334">
        <v>333</v>
      </c>
      <c r="B334">
        <v>142</v>
      </c>
      <c r="C334">
        <v>1</v>
      </c>
      <c r="D334" s="1">
        <v>42064</v>
      </c>
      <c r="E334">
        <v>16</v>
      </c>
      <c r="F334">
        <v>16</v>
      </c>
      <c r="G334" t="s">
        <v>9</v>
      </c>
      <c r="H334" t="s">
        <v>14</v>
      </c>
      <c r="I334" t="s">
        <v>26</v>
      </c>
    </row>
    <row r="335" spans="1:9" x14ac:dyDescent="0.35">
      <c r="A335">
        <v>334</v>
      </c>
      <c r="B335">
        <v>143</v>
      </c>
      <c r="C335">
        <v>1</v>
      </c>
      <c r="D335" s="1">
        <v>42064</v>
      </c>
      <c r="E335">
        <v>12.75</v>
      </c>
      <c r="F335">
        <v>12.75</v>
      </c>
      <c r="G335" t="s">
        <v>22</v>
      </c>
      <c r="H335" t="s">
        <v>19</v>
      </c>
      <c r="I335" t="s">
        <v>32</v>
      </c>
    </row>
    <row r="336" spans="1:9" x14ac:dyDescent="0.35">
      <c r="A336">
        <v>335</v>
      </c>
      <c r="B336">
        <v>143</v>
      </c>
      <c r="C336">
        <v>1</v>
      </c>
      <c r="D336" s="1">
        <v>42064</v>
      </c>
      <c r="E336">
        <v>12</v>
      </c>
      <c r="F336">
        <v>12</v>
      </c>
      <c r="G336" t="s">
        <v>22</v>
      </c>
      <c r="H336" t="s">
        <v>10</v>
      </c>
      <c r="I336" t="s">
        <v>12</v>
      </c>
    </row>
    <row r="337" spans="1:9" x14ac:dyDescent="0.35">
      <c r="A337">
        <v>336</v>
      </c>
      <c r="B337">
        <v>143</v>
      </c>
      <c r="C337">
        <v>1</v>
      </c>
      <c r="D337" s="1">
        <v>42064</v>
      </c>
      <c r="E337">
        <v>16.5</v>
      </c>
      <c r="F337">
        <v>16.5</v>
      </c>
      <c r="G337" t="s">
        <v>13</v>
      </c>
      <c r="H337" t="s">
        <v>10</v>
      </c>
      <c r="I337" t="s">
        <v>11</v>
      </c>
    </row>
    <row r="338" spans="1:9" x14ac:dyDescent="0.35">
      <c r="A338">
        <v>337</v>
      </c>
      <c r="B338">
        <v>143</v>
      </c>
      <c r="C338">
        <v>1</v>
      </c>
      <c r="D338" s="1">
        <v>42064</v>
      </c>
      <c r="E338">
        <v>16</v>
      </c>
      <c r="F338">
        <v>16</v>
      </c>
      <c r="G338" t="s">
        <v>9</v>
      </c>
      <c r="H338" t="s">
        <v>14</v>
      </c>
      <c r="I338" t="s">
        <v>18</v>
      </c>
    </row>
    <row r="339" spans="1:9" x14ac:dyDescent="0.35">
      <c r="A339">
        <v>338</v>
      </c>
      <c r="B339">
        <v>143</v>
      </c>
      <c r="C339">
        <v>1</v>
      </c>
      <c r="D339" s="1">
        <v>42064</v>
      </c>
      <c r="E339">
        <v>15.25</v>
      </c>
      <c r="F339">
        <v>15.25</v>
      </c>
      <c r="G339" t="s">
        <v>13</v>
      </c>
      <c r="H339" t="s">
        <v>10</v>
      </c>
      <c r="I339" t="s">
        <v>33</v>
      </c>
    </row>
    <row r="340" spans="1:9" x14ac:dyDescent="0.35">
      <c r="A340">
        <v>339</v>
      </c>
      <c r="B340">
        <v>143</v>
      </c>
      <c r="C340">
        <v>1</v>
      </c>
      <c r="D340" s="1">
        <v>42064</v>
      </c>
      <c r="E340">
        <v>12.5</v>
      </c>
      <c r="F340">
        <v>12.5</v>
      </c>
      <c r="G340" t="s">
        <v>22</v>
      </c>
      <c r="H340" t="s">
        <v>16</v>
      </c>
      <c r="I340" t="s">
        <v>21</v>
      </c>
    </row>
    <row r="341" spans="1:9" x14ac:dyDescent="0.35">
      <c r="A341">
        <v>340</v>
      </c>
      <c r="B341">
        <v>143</v>
      </c>
      <c r="C341">
        <v>1</v>
      </c>
      <c r="D341" s="1">
        <v>42064</v>
      </c>
      <c r="E341">
        <v>20.75</v>
      </c>
      <c r="F341">
        <v>20.75</v>
      </c>
      <c r="G341" t="s">
        <v>13</v>
      </c>
      <c r="H341" t="s">
        <v>19</v>
      </c>
      <c r="I341" t="s">
        <v>20</v>
      </c>
    </row>
    <row r="342" spans="1:9" x14ac:dyDescent="0.35">
      <c r="A342">
        <v>341</v>
      </c>
      <c r="B342">
        <v>143</v>
      </c>
      <c r="C342">
        <v>1</v>
      </c>
      <c r="D342" s="1">
        <v>42064</v>
      </c>
      <c r="E342">
        <v>16</v>
      </c>
      <c r="F342">
        <v>16</v>
      </c>
      <c r="G342" t="s">
        <v>9</v>
      </c>
      <c r="H342" t="s">
        <v>14</v>
      </c>
      <c r="I342" t="s">
        <v>30</v>
      </c>
    </row>
    <row r="343" spans="1:9" x14ac:dyDescent="0.35">
      <c r="A343">
        <v>342</v>
      </c>
      <c r="B343">
        <v>144</v>
      </c>
      <c r="C343">
        <v>3</v>
      </c>
      <c r="D343" s="1">
        <v>42064</v>
      </c>
      <c r="E343">
        <v>16.75</v>
      </c>
      <c r="F343">
        <v>50.25</v>
      </c>
      <c r="G343" t="s">
        <v>9</v>
      </c>
      <c r="H343" t="s">
        <v>19</v>
      </c>
      <c r="I343" t="s">
        <v>23</v>
      </c>
    </row>
    <row r="344" spans="1:9" x14ac:dyDescent="0.35">
      <c r="A344">
        <v>343</v>
      </c>
      <c r="B344">
        <v>144</v>
      </c>
      <c r="C344">
        <v>1</v>
      </c>
      <c r="D344" s="1">
        <v>42064</v>
      </c>
      <c r="E344">
        <v>12</v>
      </c>
      <c r="F344">
        <v>12</v>
      </c>
      <c r="G344" t="s">
        <v>22</v>
      </c>
      <c r="H344" t="s">
        <v>10</v>
      </c>
      <c r="I344" t="s">
        <v>35</v>
      </c>
    </row>
    <row r="345" spans="1:9" x14ac:dyDescent="0.35">
      <c r="A345">
        <v>344</v>
      </c>
      <c r="B345">
        <v>144</v>
      </c>
      <c r="C345">
        <v>1</v>
      </c>
      <c r="D345" s="1">
        <v>42064</v>
      </c>
      <c r="E345">
        <v>20.75</v>
      </c>
      <c r="F345">
        <v>20.75</v>
      </c>
      <c r="G345" t="s">
        <v>13</v>
      </c>
      <c r="H345" t="s">
        <v>19</v>
      </c>
      <c r="I345" t="s">
        <v>32</v>
      </c>
    </row>
    <row r="346" spans="1:9" x14ac:dyDescent="0.35">
      <c r="A346">
        <v>345</v>
      </c>
      <c r="B346">
        <v>144</v>
      </c>
      <c r="C346">
        <v>1</v>
      </c>
      <c r="D346" s="1">
        <v>42064</v>
      </c>
      <c r="E346">
        <v>16.75</v>
      </c>
      <c r="F346">
        <v>16.75</v>
      </c>
      <c r="G346" t="s">
        <v>9</v>
      </c>
      <c r="H346" t="s">
        <v>19</v>
      </c>
      <c r="I346" t="s">
        <v>34</v>
      </c>
    </row>
    <row r="347" spans="1:9" x14ac:dyDescent="0.35">
      <c r="A347">
        <v>346</v>
      </c>
      <c r="B347">
        <v>144</v>
      </c>
      <c r="C347">
        <v>1</v>
      </c>
      <c r="D347" s="1">
        <v>42064</v>
      </c>
      <c r="E347">
        <v>18.5</v>
      </c>
      <c r="F347">
        <v>18.5</v>
      </c>
      <c r="G347" t="s">
        <v>13</v>
      </c>
      <c r="H347" t="s">
        <v>14</v>
      </c>
      <c r="I347" t="s">
        <v>15</v>
      </c>
    </row>
    <row r="348" spans="1:9" x14ac:dyDescent="0.35">
      <c r="A348">
        <v>347</v>
      </c>
      <c r="B348">
        <v>144</v>
      </c>
      <c r="C348">
        <v>1</v>
      </c>
      <c r="D348" s="1">
        <v>42064</v>
      </c>
      <c r="E348">
        <v>17.95</v>
      </c>
      <c r="F348">
        <v>17.95</v>
      </c>
      <c r="G348" t="s">
        <v>13</v>
      </c>
      <c r="H348" t="s">
        <v>14</v>
      </c>
      <c r="I348" t="s">
        <v>37</v>
      </c>
    </row>
    <row r="349" spans="1:9" x14ac:dyDescent="0.35">
      <c r="A349">
        <v>348</v>
      </c>
      <c r="B349">
        <v>144</v>
      </c>
      <c r="C349">
        <v>1</v>
      </c>
      <c r="D349" s="1">
        <v>42064</v>
      </c>
      <c r="E349">
        <v>11</v>
      </c>
      <c r="F349">
        <v>11</v>
      </c>
      <c r="G349" t="s">
        <v>22</v>
      </c>
      <c r="H349" t="s">
        <v>10</v>
      </c>
      <c r="I349" t="s">
        <v>46</v>
      </c>
    </row>
    <row r="350" spans="1:9" x14ac:dyDescent="0.35">
      <c r="A350">
        <v>349</v>
      </c>
      <c r="B350">
        <v>144</v>
      </c>
      <c r="C350">
        <v>1</v>
      </c>
      <c r="D350" s="1">
        <v>42064</v>
      </c>
      <c r="E350">
        <v>20.75</v>
      </c>
      <c r="F350">
        <v>20.75</v>
      </c>
      <c r="G350" t="s">
        <v>13</v>
      </c>
      <c r="H350" t="s">
        <v>19</v>
      </c>
      <c r="I350" t="s">
        <v>31</v>
      </c>
    </row>
    <row r="351" spans="1:9" x14ac:dyDescent="0.35">
      <c r="A351">
        <v>350</v>
      </c>
      <c r="B351">
        <v>144</v>
      </c>
      <c r="C351">
        <v>1</v>
      </c>
      <c r="D351" s="1">
        <v>42064</v>
      </c>
      <c r="E351">
        <v>12.75</v>
      </c>
      <c r="F351">
        <v>12.75</v>
      </c>
      <c r="G351" t="s">
        <v>22</v>
      </c>
      <c r="H351" t="s">
        <v>19</v>
      </c>
      <c r="I351" t="s">
        <v>31</v>
      </c>
    </row>
    <row r="352" spans="1:9" x14ac:dyDescent="0.35">
      <c r="A352">
        <v>351</v>
      </c>
      <c r="B352">
        <v>144</v>
      </c>
      <c r="C352">
        <v>1</v>
      </c>
      <c r="D352" s="1">
        <v>42064</v>
      </c>
      <c r="E352">
        <v>20.75</v>
      </c>
      <c r="F352">
        <v>20.75</v>
      </c>
      <c r="G352" t="s">
        <v>13</v>
      </c>
      <c r="H352" t="s">
        <v>16</v>
      </c>
      <c r="I352" t="s">
        <v>28</v>
      </c>
    </row>
    <row r="353" spans="1:9" x14ac:dyDescent="0.35">
      <c r="A353">
        <v>352</v>
      </c>
      <c r="B353">
        <v>144</v>
      </c>
      <c r="C353">
        <v>1</v>
      </c>
      <c r="D353" s="1">
        <v>42064</v>
      </c>
      <c r="E353">
        <v>16.75</v>
      </c>
      <c r="F353">
        <v>16.75</v>
      </c>
      <c r="G353" t="s">
        <v>9</v>
      </c>
      <c r="H353" t="s">
        <v>19</v>
      </c>
      <c r="I353" t="s">
        <v>20</v>
      </c>
    </row>
    <row r="354" spans="1:9" x14ac:dyDescent="0.35">
      <c r="A354">
        <v>353</v>
      </c>
      <c r="B354">
        <v>144</v>
      </c>
      <c r="C354">
        <v>1</v>
      </c>
      <c r="D354" s="1">
        <v>42064</v>
      </c>
      <c r="E354">
        <v>20.25</v>
      </c>
      <c r="F354">
        <v>20.25</v>
      </c>
      <c r="G354" t="s">
        <v>13</v>
      </c>
      <c r="H354" t="s">
        <v>14</v>
      </c>
      <c r="I354" t="s">
        <v>30</v>
      </c>
    </row>
    <row r="355" spans="1:9" x14ac:dyDescent="0.35">
      <c r="A355">
        <v>354</v>
      </c>
      <c r="B355">
        <v>145</v>
      </c>
      <c r="C355">
        <v>1</v>
      </c>
      <c r="D355" s="1">
        <v>42064</v>
      </c>
      <c r="E355">
        <v>12</v>
      </c>
      <c r="F355">
        <v>12</v>
      </c>
      <c r="G355" t="s">
        <v>22</v>
      </c>
      <c r="H355" t="s">
        <v>10</v>
      </c>
      <c r="I355" t="s">
        <v>24</v>
      </c>
    </row>
    <row r="356" spans="1:9" x14ac:dyDescent="0.35">
      <c r="A356">
        <v>355</v>
      </c>
      <c r="B356">
        <v>146</v>
      </c>
      <c r="C356">
        <v>1</v>
      </c>
      <c r="D356" s="1">
        <v>42064</v>
      </c>
      <c r="E356">
        <v>20.75</v>
      </c>
      <c r="F356">
        <v>20.75</v>
      </c>
      <c r="G356" t="s">
        <v>13</v>
      </c>
      <c r="H356" t="s">
        <v>19</v>
      </c>
      <c r="I356" t="s">
        <v>32</v>
      </c>
    </row>
    <row r="357" spans="1:9" x14ac:dyDescent="0.35">
      <c r="A357">
        <v>356</v>
      </c>
      <c r="B357">
        <v>146</v>
      </c>
      <c r="C357">
        <v>1</v>
      </c>
      <c r="D357" s="1">
        <v>42064</v>
      </c>
      <c r="E357">
        <v>14.75</v>
      </c>
      <c r="F357">
        <v>14.75</v>
      </c>
      <c r="G357" t="s">
        <v>9</v>
      </c>
      <c r="H357" t="s">
        <v>14</v>
      </c>
      <c r="I357" t="s">
        <v>37</v>
      </c>
    </row>
    <row r="358" spans="1:9" x14ac:dyDescent="0.35">
      <c r="A358">
        <v>357</v>
      </c>
      <c r="B358">
        <v>146</v>
      </c>
      <c r="C358">
        <v>1</v>
      </c>
      <c r="D358" s="1">
        <v>42064</v>
      </c>
      <c r="E358">
        <v>13.25</v>
      </c>
      <c r="F358">
        <v>13.25</v>
      </c>
      <c r="G358" t="s">
        <v>9</v>
      </c>
      <c r="H358" t="s">
        <v>10</v>
      </c>
      <c r="I358" t="s">
        <v>11</v>
      </c>
    </row>
    <row r="359" spans="1:9" x14ac:dyDescent="0.35">
      <c r="A359">
        <v>358</v>
      </c>
      <c r="B359">
        <v>147</v>
      </c>
      <c r="C359">
        <v>1</v>
      </c>
      <c r="D359" s="1">
        <v>42064</v>
      </c>
      <c r="E359">
        <v>25.5</v>
      </c>
      <c r="F359">
        <v>25.5</v>
      </c>
      <c r="G359" t="s">
        <v>47</v>
      </c>
      <c r="H359" t="s">
        <v>10</v>
      </c>
      <c r="I359" t="s">
        <v>24</v>
      </c>
    </row>
    <row r="360" spans="1:9" x14ac:dyDescent="0.35">
      <c r="A360">
        <v>359</v>
      </c>
      <c r="B360">
        <v>148</v>
      </c>
      <c r="C360">
        <v>1</v>
      </c>
      <c r="D360" s="1">
        <v>42064</v>
      </c>
      <c r="E360">
        <v>12</v>
      </c>
      <c r="F360">
        <v>12</v>
      </c>
      <c r="G360" t="s">
        <v>22</v>
      </c>
      <c r="H360" t="s">
        <v>14</v>
      </c>
      <c r="I360" t="s">
        <v>41</v>
      </c>
    </row>
    <row r="361" spans="1:9" x14ac:dyDescent="0.35">
      <c r="A361">
        <v>360</v>
      </c>
      <c r="B361">
        <v>149</v>
      </c>
      <c r="C361">
        <v>1</v>
      </c>
      <c r="D361" s="1">
        <v>42064</v>
      </c>
      <c r="E361">
        <v>16</v>
      </c>
      <c r="F361">
        <v>16</v>
      </c>
      <c r="G361" t="s">
        <v>9</v>
      </c>
      <c r="H361" t="s">
        <v>14</v>
      </c>
      <c r="I361" t="s">
        <v>43</v>
      </c>
    </row>
    <row r="362" spans="1:9" x14ac:dyDescent="0.35">
      <c r="A362">
        <v>361</v>
      </c>
      <c r="B362">
        <v>150</v>
      </c>
      <c r="C362">
        <v>1</v>
      </c>
      <c r="D362" s="1">
        <v>42064</v>
      </c>
      <c r="E362">
        <v>12.5</v>
      </c>
      <c r="F362">
        <v>12.5</v>
      </c>
      <c r="G362" t="s">
        <v>9</v>
      </c>
      <c r="H362" t="s">
        <v>10</v>
      </c>
      <c r="I362" t="s">
        <v>33</v>
      </c>
    </row>
    <row r="363" spans="1:9" x14ac:dyDescent="0.35">
      <c r="A363">
        <v>362</v>
      </c>
      <c r="B363">
        <v>151</v>
      </c>
      <c r="C363">
        <v>1</v>
      </c>
      <c r="D363" s="1">
        <v>42064</v>
      </c>
      <c r="E363">
        <v>20.75</v>
      </c>
      <c r="F363">
        <v>20.75</v>
      </c>
      <c r="G363" t="s">
        <v>13</v>
      </c>
      <c r="H363" t="s">
        <v>19</v>
      </c>
      <c r="I363" t="s">
        <v>31</v>
      </c>
    </row>
    <row r="364" spans="1:9" x14ac:dyDescent="0.35">
      <c r="A364">
        <v>363</v>
      </c>
      <c r="B364">
        <v>151</v>
      </c>
      <c r="C364">
        <v>1</v>
      </c>
      <c r="D364" s="1">
        <v>42064</v>
      </c>
      <c r="E364">
        <v>12.5</v>
      </c>
      <c r="F364">
        <v>12.5</v>
      </c>
      <c r="G364" t="s">
        <v>22</v>
      </c>
      <c r="H364" t="s">
        <v>16</v>
      </c>
      <c r="I364" t="s">
        <v>25</v>
      </c>
    </row>
    <row r="365" spans="1:9" x14ac:dyDescent="0.35">
      <c r="A365">
        <v>364</v>
      </c>
      <c r="B365">
        <v>152</v>
      </c>
      <c r="C365">
        <v>1</v>
      </c>
      <c r="D365" s="1">
        <v>42064</v>
      </c>
      <c r="E365">
        <v>10.5</v>
      </c>
      <c r="F365">
        <v>10.5</v>
      </c>
      <c r="G365" t="s">
        <v>22</v>
      </c>
      <c r="H365" t="s">
        <v>10</v>
      </c>
      <c r="I365" t="s">
        <v>11</v>
      </c>
    </row>
    <row r="366" spans="1:9" x14ac:dyDescent="0.35">
      <c r="A366">
        <v>365</v>
      </c>
      <c r="B366">
        <v>152</v>
      </c>
      <c r="C366">
        <v>1</v>
      </c>
      <c r="D366" s="1">
        <v>42064</v>
      </c>
      <c r="E366">
        <v>20.25</v>
      </c>
      <c r="F366">
        <v>20.25</v>
      </c>
      <c r="G366" t="s">
        <v>13</v>
      </c>
      <c r="H366" t="s">
        <v>14</v>
      </c>
      <c r="I366" t="s">
        <v>43</v>
      </c>
    </row>
    <row r="367" spans="1:9" x14ac:dyDescent="0.35">
      <c r="A367">
        <v>366</v>
      </c>
      <c r="B367">
        <v>152</v>
      </c>
      <c r="C367">
        <v>1</v>
      </c>
      <c r="D367" s="1">
        <v>42064</v>
      </c>
      <c r="E367">
        <v>12.75</v>
      </c>
      <c r="F367">
        <v>12.75</v>
      </c>
      <c r="G367" t="s">
        <v>22</v>
      </c>
      <c r="H367" t="s">
        <v>19</v>
      </c>
      <c r="I367" t="s">
        <v>20</v>
      </c>
    </row>
    <row r="368" spans="1:9" x14ac:dyDescent="0.35">
      <c r="A368">
        <v>367</v>
      </c>
      <c r="B368">
        <v>152</v>
      </c>
      <c r="C368">
        <v>1</v>
      </c>
      <c r="D368" s="1">
        <v>42064</v>
      </c>
      <c r="E368">
        <v>16</v>
      </c>
      <c r="F368">
        <v>16</v>
      </c>
      <c r="G368" t="s">
        <v>9</v>
      </c>
      <c r="H368" t="s">
        <v>10</v>
      </c>
      <c r="I368" t="s">
        <v>24</v>
      </c>
    </row>
    <row r="369" spans="1:9" x14ac:dyDescent="0.35">
      <c r="A369">
        <v>368</v>
      </c>
      <c r="B369">
        <v>153</v>
      </c>
      <c r="C369">
        <v>1</v>
      </c>
      <c r="D369" s="1">
        <v>42064</v>
      </c>
      <c r="E369">
        <v>16</v>
      </c>
      <c r="F369">
        <v>16</v>
      </c>
      <c r="G369" t="s">
        <v>9</v>
      </c>
      <c r="H369" t="s">
        <v>14</v>
      </c>
      <c r="I369" t="s">
        <v>18</v>
      </c>
    </row>
    <row r="370" spans="1:9" x14ac:dyDescent="0.35">
      <c r="A370">
        <v>369</v>
      </c>
      <c r="B370">
        <v>154</v>
      </c>
      <c r="C370">
        <v>1</v>
      </c>
      <c r="D370" s="1">
        <v>42064</v>
      </c>
      <c r="E370">
        <v>12.5</v>
      </c>
      <c r="F370">
        <v>12.5</v>
      </c>
      <c r="G370" t="s">
        <v>22</v>
      </c>
      <c r="H370" t="s">
        <v>16</v>
      </c>
      <c r="I370" t="s">
        <v>21</v>
      </c>
    </row>
    <row r="371" spans="1:9" x14ac:dyDescent="0.35">
      <c r="A371">
        <v>370</v>
      </c>
      <c r="B371">
        <v>155</v>
      </c>
      <c r="C371">
        <v>1</v>
      </c>
      <c r="D371" s="1">
        <v>42064</v>
      </c>
      <c r="E371">
        <v>12.75</v>
      </c>
      <c r="F371">
        <v>12.75</v>
      </c>
      <c r="G371" t="s">
        <v>22</v>
      </c>
      <c r="H371" t="s">
        <v>19</v>
      </c>
      <c r="I371" t="s">
        <v>34</v>
      </c>
    </row>
    <row r="372" spans="1:9" x14ac:dyDescent="0.35">
      <c r="A372">
        <v>371</v>
      </c>
      <c r="B372">
        <v>155</v>
      </c>
      <c r="C372">
        <v>1</v>
      </c>
      <c r="D372" s="1">
        <v>42064</v>
      </c>
      <c r="E372">
        <v>20.5</v>
      </c>
      <c r="F372">
        <v>20.5</v>
      </c>
      <c r="G372" t="s">
        <v>13</v>
      </c>
      <c r="H372" t="s">
        <v>10</v>
      </c>
      <c r="I372" t="s">
        <v>38</v>
      </c>
    </row>
    <row r="373" spans="1:9" x14ac:dyDescent="0.35">
      <c r="A373">
        <v>372</v>
      </c>
      <c r="B373">
        <v>155</v>
      </c>
      <c r="C373">
        <v>1</v>
      </c>
      <c r="D373" s="1">
        <v>42064</v>
      </c>
      <c r="E373">
        <v>15.25</v>
      </c>
      <c r="F373">
        <v>15.25</v>
      </c>
      <c r="G373" t="s">
        <v>13</v>
      </c>
      <c r="H373" t="s">
        <v>10</v>
      </c>
      <c r="I373" t="s">
        <v>33</v>
      </c>
    </row>
    <row r="374" spans="1:9" x14ac:dyDescent="0.35">
      <c r="A374">
        <v>373</v>
      </c>
      <c r="B374">
        <v>155</v>
      </c>
      <c r="C374">
        <v>1</v>
      </c>
      <c r="D374" s="1">
        <v>42064</v>
      </c>
      <c r="E374">
        <v>20.75</v>
      </c>
      <c r="F374">
        <v>20.75</v>
      </c>
      <c r="G374" t="s">
        <v>13</v>
      </c>
      <c r="H374" t="s">
        <v>16</v>
      </c>
      <c r="I374" t="s">
        <v>42</v>
      </c>
    </row>
    <row r="375" spans="1:9" x14ac:dyDescent="0.35">
      <c r="A375">
        <v>374</v>
      </c>
      <c r="B375">
        <v>156</v>
      </c>
      <c r="C375">
        <v>1</v>
      </c>
      <c r="D375" s="1">
        <v>42064</v>
      </c>
      <c r="E375">
        <v>16</v>
      </c>
      <c r="F375">
        <v>16</v>
      </c>
      <c r="G375" t="s">
        <v>9</v>
      </c>
      <c r="H375" t="s">
        <v>10</v>
      </c>
      <c r="I375" t="s">
        <v>38</v>
      </c>
    </row>
    <row r="376" spans="1:9" x14ac:dyDescent="0.35">
      <c r="A376">
        <v>375</v>
      </c>
      <c r="B376">
        <v>156</v>
      </c>
      <c r="C376">
        <v>1</v>
      </c>
      <c r="D376" s="1">
        <v>42064</v>
      </c>
      <c r="E376">
        <v>20.75</v>
      </c>
      <c r="F376">
        <v>20.75</v>
      </c>
      <c r="G376" t="s">
        <v>13</v>
      </c>
      <c r="H376" t="s">
        <v>19</v>
      </c>
      <c r="I376" t="s">
        <v>20</v>
      </c>
    </row>
    <row r="377" spans="1:9" x14ac:dyDescent="0.35">
      <c r="A377">
        <v>376</v>
      </c>
      <c r="B377">
        <v>157</v>
      </c>
      <c r="C377">
        <v>1</v>
      </c>
      <c r="D377" s="1">
        <v>42064</v>
      </c>
      <c r="E377">
        <v>20.75</v>
      </c>
      <c r="F377">
        <v>20.75</v>
      </c>
      <c r="G377" t="s">
        <v>13</v>
      </c>
      <c r="H377" t="s">
        <v>16</v>
      </c>
      <c r="I377" t="s">
        <v>17</v>
      </c>
    </row>
    <row r="378" spans="1:9" x14ac:dyDescent="0.35">
      <c r="A378">
        <v>377</v>
      </c>
      <c r="B378">
        <v>157</v>
      </c>
      <c r="C378">
        <v>1</v>
      </c>
      <c r="D378" s="1">
        <v>42064</v>
      </c>
      <c r="E378">
        <v>16</v>
      </c>
      <c r="F378">
        <v>16</v>
      </c>
      <c r="G378" t="s">
        <v>9</v>
      </c>
      <c r="H378" t="s">
        <v>14</v>
      </c>
      <c r="I378" t="s">
        <v>41</v>
      </c>
    </row>
    <row r="379" spans="1:9" x14ac:dyDescent="0.35">
      <c r="A379">
        <v>378</v>
      </c>
      <c r="B379">
        <v>157</v>
      </c>
      <c r="C379">
        <v>1</v>
      </c>
      <c r="D379" s="1">
        <v>42064</v>
      </c>
      <c r="E379">
        <v>16.25</v>
      </c>
      <c r="F379">
        <v>16.25</v>
      </c>
      <c r="G379" t="s">
        <v>9</v>
      </c>
      <c r="H379" t="s">
        <v>16</v>
      </c>
      <c r="I379" t="s">
        <v>44</v>
      </c>
    </row>
    <row r="380" spans="1:9" x14ac:dyDescent="0.35">
      <c r="A380">
        <v>379</v>
      </c>
      <c r="B380">
        <v>157</v>
      </c>
      <c r="C380">
        <v>1</v>
      </c>
      <c r="D380" s="1">
        <v>42064</v>
      </c>
      <c r="E380">
        <v>16.5</v>
      </c>
      <c r="F380">
        <v>16.5</v>
      </c>
      <c r="G380" t="s">
        <v>9</v>
      </c>
      <c r="H380" t="s">
        <v>14</v>
      </c>
      <c r="I380" t="s">
        <v>29</v>
      </c>
    </row>
    <row r="381" spans="1:9" x14ac:dyDescent="0.35">
      <c r="A381">
        <v>380</v>
      </c>
      <c r="B381">
        <v>158</v>
      </c>
      <c r="C381">
        <v>1</v>
      </c>
      <c r="D381" s="1">
        <v>42064</v>
      </c>
      <c r="E381">
        <v>16.75</v>
      </c>
      <c r="F381">
        <v>16.75</v>
      </c>
      <c r="G381" t="s">
        <v>9</v>
      </c>
      <c r="H381" t="s">
        <v>14</v>
      </c>
      <c r="I381" t="s">
        <v>40</v>
      </c>
    </row>
    <row r="382" spans="1:9" x14ac:dyDescent="0.35">
      <c r="A382">
        <v>381</v>
      </c>
      <c r="B382">
        <v>158</v>
      </c>
      <c r="C382">
        <v>1</v>
      </c>
      <c r="D382" s="1">
        <v>42064</v>
      </c>
      <c r="E382">
        <v>16.75</v>
      </c>
      <c r="F382">
        <v>16.75</v>
      </c>
      <c r="G382" t="s">
        <v>9</v>
      </c>
      <c r="H382" t="s">
        <v>19</v>
      </c>
      <c r="I382" t="s">
        <v>20</v>
      </c>
    </row>
    <row r="383" spans="1:9" x14ac:dyDescent="0.35">
      <c r="A383">
        <v>382</v>
      </c>
      <c r="B383">
        <v>159</v>
      </c>
      <c r="C383">
        <v>1</v>
      </c>
      <c r="D383" s="1">
        <v>42064</v>
      </c>
      <c r="E383">
        <v>17.95</v>
      </c>
      <c r="F383">
        <v>17.95</v>
      </c>
      <c r="G383" t="s">
        <v>13</v>
      </c>
      <c r="H383" t="s">
        <v>14</v>
      </c>
      <c r="I383" t="s">
        <v>37</v>
      </c>
    </row>
    <row r="384" spans="1:9" x14ac:dyDescent="0.35">
      <c r="A384">
        <v>383</v>
      </c>
      <c r="B384">
        <v>159</v>
      </c>
      <c r="C384">
        <v>1</v>
      </c>
      <c r="D384" s="1">
        <v>42064</v>
      </c>
      <c r="E384">
        <v>16.75</v>
      </c>
      <c r="F384">
        <v>16.75</v>
      </c>
      <c r="G384" t="s">
        <v>9</v>
      </c>
      <c r="H384" t="s">
        <v>19</v>
      </c>
      <c r="I384" t="s">
        <v>20</v>
      </c>
    </row>
    <row r="385" spans="1:9" x14ac:dyDescent="0.35">
      <c r="A385">
        <v>384</v>
      </c>
      <c r="B385">
        <v>160</v>
      </c>
      <c r="C385">
        <v>1</v>
      </c>
      <c r="D385" s="1">
        <v>42064</v>
      </c>
      <c r="E385">
        <v>16</v>
      </c>
      <c r="F385">
        <v>16</v>
      </c>
      <c r="G385" t="s">
        <v>9</v>
      </c>
      <c r="H385" t="s">
        <v>10</v>
      </c>
      <c r="I385" t="s">
        <v>12</v>
      </c>
    </row>
    <row r="386" spans="1:9" x14ac:dyDescent="0.35">
      <c r="A386">
        <v>385</v>
      </c>
      <c r="B386">
        <v>161</v>
      </c>
      <c r="C386">
        <v>1</v>
      </c>
      <c r="D386" s="1">
        <v>42064</v>
      </c>
      <c r="E386">
        <v>10.5</v>
      </c>
      <c r="F386">
        <v>10.5</v>
      </c>
      <c r="G386" t="s">
        <v>22</v>
      </c>
      <c r="H386" t="s">
        <v>10</v>
      </c>
      <c r="I386" t="s">
        <v>11</v>
      </c>
    </row>
    <row r="387" spans="1:9" x14ac:dyDescent="0.35">
      <c r="A387">
        <v>386</v>
      </c>
      <c r="B387">
        <v>161</v>
      </c>
      <c r="C387">
        <v>1</v>
      </c>
      <c r="D387" s="1">
        <v>42064</v>
      </c>
      <c r="E387">
        <v>16.5</v>
      </c>
      <c r="F387">
        <v>16.5</v>
      </c>
      <c r="G387" t="s">
        <v>9</v>
      </c>
      <c r="H387" t="s">
        <v>16</v>
      </c>
      <c r="I387" t="s">
        <v>28</v>
      </c>
    </row>
    <row r="388" spans="1:9" x14ac:dyDescent="0.35">
      <c r="A388">
        <v>387</v>
      </c>
      <c r="B388">
        <v>161</v>
      </c>
      <c r="C388">
        <v>1</v>
      </c>
      <c r="D388" s="1">
        <v>42064</v>
      </c>
      <c r="E388">
        <v>25.5</v>
      </c>
      <c r="F388">
        <v>25.5</v>
      </c>
      <c r="G388" t="s">
        <v>47</v>
      </c>
      <c r="H388" t="s">
        <v>10</v>
      </c>
      <c r="I388" t="s">
        <v>24</v>
      </c>
    </row>
    <row r="389" spans="1:9" x14ac:dyDescent="0.35">
      <c r="A389">
        <v>388</v>
      </c>
      <c r="B389">
        <v>162</v>
      </c>
      <c r="C389">
        <v>1</v>
      </c>
      <c r="D389" s="1">
        <v>42064</v>
      </c>
      <c r="E389">
        <v>12</v>
      </c>
      <c r="F389">
        <v>12</v>
      </c>
      <c r="G389" t="s">
        <v>22</v>
      </c>
      <c r="H389" t="s">
        <v>10</v>
      </c>
      <c r="I389" t="s">
        <v>35</v>
      </c>
    </row>
    <row r="390" spans="1:9" x14ac:dyDescent="0.35">
      <c r="A390">
        <v>389</v>
      </c>
      <c r="B390">
        <v>163</v>
      </c>
      <c r="C390">
        <v>1</v>
      </c>
      <c r="D390" s="1">
        <v>42064</v>
      </c>
      <c r="E390">
        <v>13.25</v>
      </c>
      <c r="F390">
        <v>13.25</v>
      </c>
      <c r="G390" t="s">
        <v>9</v>
      </c>
      <c r="H390" t="s">
        <v>10</v>
      </c>
      <c r="I390" t="s">
        <v>11</v>
      </c>
    </row>
    <row r="391" spans="1:9" x14ac:dyDescent="0.35">
      <c r="A391">
        <v>390</v>
      </c>
      <c r="B391">
        <v>163</v>
      </c>
      <c r="C391">
        <v>1</v>
      </c>
      <c r="D391" s="1">
        <v>42064</v>
      </c>
      <c r="E391">
        <v>15.25</v>
      </c>
      <c r="F391">
        <v>15.25</v>
      </c>
      <c r="G391" t="s">
        <v>13</v>
      </c>
      <c r="H391" t="s">
        <v>10</v>
      </c>
      <c r="I391" t="s">
        <v>33</v>
      </c>
    </row>
    <row r="392" spans="1:9" x14ac:dyDescent="0.35">
      <c r="A392">
        <v>391</v>
      </c>
      <c r="B392">
        <v>163</v>
      </c>
      <c r="C392">
        <v>1</v>
      </c>
      <c r="D392" s="1">
        <v>42064</v>
      </c>
      <c r="E392">
        <v>16</v>
      </c>
      <c r="F392">
        <v>16</v>
      </c>
      <c r="G392" t="s">
        <v>9</v>
      </c>
      <c r="H392" t="s">
        <v>10</v>
      </c>
      <c r="I392" t="s">
        <v>24</v>
      </c>
    </row>
    <row r="393" spans="1:9" x14ac:dyDescent="0.35">
      <c r="A393">
        <v>392</v>
      </c>
      <c r="B393">
        <v>164</v>
      </c>
      <c r="C393">
        <v>1</v>
      </c>
      <c r="D393" s="1">
        <v>42064</v>
      </c>
      <c r="E393">
        <v>20.75</v>
      </c>
      <c r="F393">
        <v>20.75</v>
      </c>
      <c r="G393" t="s">
        <v>13</v>
      </c>
      <c r="H393" t="s">
        <v>19</v>
      </c>
      <c r="I393" t="s">
        <v>32</v>
      </c>
    </row>
    <row r="394" spans="1:9" x14ac:dyDescent="0.35">
      <c r="A394">
        <v>393</v>
      </c>
      <c r="B394">
        <v>164</v>
      </c>
      <c r="C394">
        <v>1</v>
      </c>
      <c r="D394" s="1">
        <v>42064</v>
      </c>
      <c r="E394">
        <v>12.5</v>
      </c>
      <c r="F394">
        <v>12.5</v>
      </c>
      <c r="G394" t="s">
        <v>9</v>
      </c>
      <c r="H394" t="s">
        <v>10</v>
      </c>
      <c r="I394" t="s">
        <v>33</v>
      </c>
    </row>
    <row r="395" spans="1:9" x14ac:dyDescent="0.35">
      <c r="A395">
        <v>394</v>
      </c>
      <c r="B395">
        <v>165</v>
      </c>
      <c r="C395">
        <v>1</v>
      </c>
      <c r="D395" s="1">
        <v>42064</v>
      </c>
      <c r="E395">
        <v>16.5</v>
      </c>
      <c r="F395">
        <v>16.5</v>
      </c>
      <c r="G395" t="s">
        <v>9</v>
      </c>
      <c r="H395" t="s">
        <v>16</v>
      </c>
      <c r="I395" t="s">
        <v>21</v>
      </c>
    </row>
    <row r="396" spans="1:9" x14ac:dyDescent="0.35">
      <c r="A396">
        <v>395</v>
      </c>
      <c r="B396">
        <v>166</v>
      </c>
      <c r="C396">
        <v>1</v>
      </c>
      <c r="D396" s="1">
        <v>42064</v>
      </c>
      <c r="E396">
        <v>12.5</v>
      </c>
      <c r="F396">
        <v>12.5</v>
      </c>
      <c r="G396" t="s">
        <v>22</v>
      </c>
      <c r="H396" t="s">
        <v>16</v>
      </c>
      <c r="I396" t="s">
        <v>21</v>
      </c>
    </row>
    <row r="397" spans="1:9" x14ac:dyDescent="0.35">
      <c r="A397">
        <v>396</v>
      </c>
      <c r="B397">
        <v>167</v>
      </c>
      <c r="C397">
        <v>1</v>
      </c>
      <c r="D397" s="1">
        <v>42064</v>
      </c>
      <c r="E397">
        <v>20.75</v>
      </c>
      <c r="F397">
        <v>20.75</v>
      </c>
      <c r="G397" t="s">
        <v>13</v>
      </c>
      <c r="H397" t="s">
        <v>19</v>
      </c>
      <c r="I397" t="s">
        <v>23</v>
      </c>
    </row>
    <row r="398" spans="1:9" x14ac:dyDescent="0.35">
      <c r="A398">
        <v>397</v>
      </c>
      <c r="B398">
        <v>167</v>
      </c>
      <c r="C398">
        <v>1</v>
      </c>
      <c r="D398" s="1">
        <v>42064</v>
      </c>
      <c r="E398">
        <v>16.5</v>
      </c>
      <c r="F398">
        <v>16.5</v>
      </c>
      <c r="G398" t="s">
        <v>9</v>
      </c>
      <c r="H398" t="s">
        <v>16</v>
      </c>
      <c r="I398" t="s">
        <v>17</v>
      </c>
    </row>
    <row r="399" spans="1:9" x14ac:dyDescent="0.35">
      <c r="A399">
        <v>398</v>
      </c>
      <c r="B399">
        <v>167</v>
      </c>
      <c r="C399">
        <v>1</v>
      </c>
      <c r="D399" s="1">
        <v>42064</v>
      </c>
      <c r="E399">
        <v>12.5</v>
      </c>
      <c r="F399">
        <v>12.5</v>
      </c>
      <c r="G399" t="s">
        <v>9</v>
      </c>
      <c r="H399" t="s">
        <v>10</v>
      </c>
      <c r="I399" t="s">
        <v>33</v>
      </c>
    </row>
    <row r="400" spans="1:9" x14ac:dyDescent="0.35">
      <c r="A400">
        <v>399</v>
      </c>
      <c r="B400">
        <v>168</v>
      </c>
      <c r="C400">
        <v>1</v>
      </c>
      <c r="D400" s="1">
        <v>42064</v>
      </c>
      <c r="E400">
        <v>12</v>
      </c>
      <c r="F400">
        <v>12</v>
      </c>
      <c r="G400" t="s">
        <v>22</v>
      </c>
      <c r="H400" t="s">
        <v>10</v>
      </c>
      <c r="I400" t="s">
        <v>35</v>
      </c>
    </row>
    <row r="401" spans="1:9" x14ac:dyDescent="0.35">
      <c r="A401">
        <v>400</v>
      </c>
      <c r="B401">
        <v>168</v>
      </c>
      <c r="C401">
        <v>1</v>
      </c>
      <c r="D401" s="1">
        <v>42064</v>
      </c>
      <c r="E401">
        <v>16</v>
      </c>
      <c r="F401">
        <v>16</v>
      </c>
      <c r="G401" t="s">
        <v>9</v>
      </c>
      <c r="H401" t="s">
        <v>14</v>
      </c>
      <c r="I401" t="s">
        <v>30</v>
      </c>
    </row>
    <row r="402" spans="1:9" x14ac:dyDescent="0.35">
      <c r="A402">
        <v>401</v>
      </c>
      <c r="B402">
        <v>169</v>
      </c>
      <c r="C402">
        <v>1</v>
      </c>
      <c r="D402" s="1">
        <v>42064</v>
      </c>
      <c r="E402">
        <v>17.95</v>
      </c>
      <c r="F402">
        <v>17.95</v>
      </c>
      <c r="G402" t="s">
        <v>13</v>
      </c>
      <c r="H402" t="s">
        <v>14</v>
      </c>
      <c r="I402" t="s">
        <v>37</v>
      </c>
    </row>
    <row r="403" spans="1:9" x14ac:dyDescent="0.35">
      <c r="A403">
        <v>402</v>
      </c>
      <c r="B403">
        <v>169</v>
      </c>
      <c r="C403">
        <v>1</v>
      </c>
      <c r="D403" s="1">
        <v>42064</v>
      </c>
      <c r="E403">
        <v>12</v>
      </c>
      <c r="F403">
        <v>12</v>
      </c>
      <c r="G403" t="s">
        <v>22</v>
      </c>
      <c r="H403" t="s">
        <v>10</v>
      </c>
      <c r="I403" t="s">
        <v>27</v>
      </c>
    </row>
    <row r="404" spans="1:9" x14ac:dyDescent="0.35">
      <c r="A404">
        <v>403</v>
      </c>
      <c r="B404">
        <v>169</v>
      </c>
      <c r="C404">
        <v>1</v>
      </c>
      <c r="D404" s="1">
        <v>42064</v>
      </c>
      <c r="E404">
        <v>16.25</v>
      </c>
      <c r="F404">
        <v>16.25</v>
      </c>
      <c r="G404" t="s">
        <v>9</v>
      </c>
      <c r="H404" t="s">
        <v>16</v>
      </c>
      <c r="I404" t="s">
        <v>44</v>
      </c>
    </row>
    <row r="405" spans="1:9" x14ac:dyDescent="0.35">
      <c r="A405">
        <v>404</v>
      </c>
      <c r="B405">
        <v>170</v>
      </c>
      <c r="C405">
        <v>1</v>
      </c>
      <c r="D405" s="1">
        <v>42064</v>
      </c>
      <c r="E405">
        <v>16.5</v>
      </c>
      <c r="F405">
        <v>16.5</v>
      </c>
      <c r="G405" t="s">
        <v>13</v>
      </c>
      <c r="H405" t="s">
        <v>10</v>
      </c>
      <c r="I405" t="s">
        <v>11</v>
      </c>
    </row>
    <row r="406" spans="1:9" x14ac:dyDescent="0.35">
      <c r="A406">
        <v>405</v>
      </c>
      <c r="B406">
        <v>171</v>
      </c>
      <c r="C406">
        <v>1</v>
      </c>
      <c r="D406" s="1">
        <v>42064</v>
      </c>
      <c r="E406">
        <v>16</v>
      </c>
      <c r="F406">
        <v>16</v>
      </c>
      <c r="G406" t="s">
        <v>9</v>
      </c>
      <c r="H406" t="s">
        <v>10</v>
      </c>
      <c r="I406" t="s">
        <v>38</v>
      </c>
    </row>
    <row r="407" spans="1:9" x14ac:dyDescent="0.35">
      <c r="A407">
        <v>406</v>
      </c>
      <c r="B407">
        <v>172</v>
      </c>
      <c r="C407">
        <v>1</v>
      </c>
      <c r="D407" s="1">
        <v>42064</v>
      </c>
      <c r="E407">
        <v>12</v>
      </c>
      <c r="F407">
        <v>12</v>
      </c>
      <c r="G407" t="s">
        <v>22</v>
      </c>
      <c r="H407" t="s">
        <v>10</v>
      </c>
      <c r="I407" t="s">
        <v>38</v>
      </c>
    </row>
    <row r="408" spans="1:9" x14ac:dyDescent="0.35">
      <c r="A408">
        <v>407</v>
      </c>
      <c r="B408">
        <v>172</v>
      </c>
      <c r="C408">
        <v>1</v>
      </c>
      <c r="D408" s="1">
        <v>42064</v>
      </c>
      <c r="E408">
        <v>16.5</v>
      </c>
      <c r="F408">
        <v>16.5</v>
      </c>
      <c r="G408" t="s">
        <v>9</v>
      </c>
      <c r="H408" t="s">
        <v>16</v>
      </c>
      <c r="I408" t="s">
        <v>25</v>
      </c>
    </row>
    <row r="409" spans="1:9" x14ac:dyDescent="0.35">
      <c r="A409">
        <v>408</v>
      </c>
      <c r="B409">
        <v>172</v>
      </c>
      <c r="C409">
        <v>1</v>
      </c>
      <c r="D409" s="1">
        <v>42064</v>
      </c>
      <c r="E409">
        <v>20.75</v>
      </c>
      <c r="F409">
        <v>20.75</v>
      </c>
      <c r="G409" t="s">
        <v>13</v>
      </c>
      <c r="H409" t="s">
        <v>19</v>
      </c>
      <c r="I409" t="s">
        <v>20</v>
      </c>
    </row>
    <row r="410" spans="1:9" x14ac:dyDescent="0.35">
      <c r="A410">
        <v>409</v>
      </c>
      <c r="B410">
        <v>173</v>
      </c>
      <c r="C410">
        <v>1</v>
      </c>
      <c r="D410" s="1">
        <v>42064</v>
      </c>
      <c r="E410">
        <v>16.75</v>
      </c>
      <c r="F410">
        <v>16.75</v>
      </c>
      <c r="G410" t="s">
        <v>9</v>
      </c>
      <c r="H410" t="s">
        <v>19</v>
      </c>
      <c r="I410" t="s">
        <v>32</v>
      </c>
    </row>
    <row r="411" spans="1:9" x14ac:dyDescent="0.35">
      <c r="A411">
        <v>410</v>
      </c>
      <c r="B411">
        <v>173</v>
      </c>
      <c r="C411">
        <v>1</v>
      </c>
      <c r="D411" s="1">
        <v>42064</v>
      </c>
      <c r="E411">
        <v>16</v>
      </c>
      <c r="F411">
        <v>16</v>
      </c>
      <c r="G411" t="s">
        <v>9</v>
      </c>
      <c r="H411" t="s">
        <v>10</v>
      </c>
      <c r="I411" t="s">
        <v>12</v>
      </c>
    </row>
    <row r="412" spans="1:9" x14ac:dyDescent="0.35">
      <c r="A412">
        <v>411</v>
      </c>
      <c r="B412">
        <v>173</v>
      </c>
      <c r="C412">
        <v>1</v>
      </c>
      <c r="D412" s="1">
        <v>42064</v>
      </c>
      <c r="E412">
        <v>20.25</v>
      </c>
      <c r="F412">
        <v>20.25</v>
      </c>
      <c r="G412" t="s">
        <v>13</v>
      </c>
      <c r="H412" t="s">
        <v>14</v>
      </c>
      <c r="I412" t="s">
        <v>30</v>
      </c>
    </row>
    <row r="413" spans="1:9" x14ac:dyDescent="0.35">
      <c r="A413">
        <v>412</v>
      </c>
      <c r="B413">
        <v>174</v>
      </c>
      <c r="C413">
        <v>1</v>
      </c>
      <c r="D413" s="1">
        <v>42064</v>
      </c>
      <c r="E413">
        <v>12</v>
      </c>
      <c r="F413">
        <v>12</v>
      </c>
      <c r="G413" t="s">
        <v>22</v>
      </c>
      <c r="H413" t="s">
        <v>10</v>
      </c>
      <c r="I413" t="s">
        <v>35</v>
      </c>
    </row>
    <row r="414" spans="1:9" x14ac:dyDescent="0.35">
      <c r="A414">
        <v>413</v>
      </c>
      <c r="B414">
        <v>174</v>
      </c>
      <c r="C414">
        <v>1</v>
      </c>
      <c r="D414" s="1">
        <v>42064</v>
      </c>
      <c r="E414">
        <v>20.75</v>
      </c>
      <c r="F414">
        <v>20.75</v>
      </c>
      <c r="G414" t="s">
        <v>13</v>
      </c>
      <c r="H414" t="s">
        <v>19</v>
      </c>
      <c r="I414" t="s">
        <v>32</v>
      </c>
    </row>
    <row r="415" spans="1:9" x14ac:dyDescent="0.35">
      <c r="A415">
        <v>414</v>
      </c>
      <c r="B415">
        <v>174</v>
      </c>
      <c r="C415">
        <v>1</v>
      </c>
      <c r="D415" s="1">
        <v>42064</v>
      </c>
      <c r="E415">
        <v>16.75</v>
      </c>
      <c r="F415">
        <v>16.75</v>
      </c>
      <c r="G415" t="s">
        <v>9</v>
      </c>
      <c r="H415" t="s">
        <v>19</v>
      </c>
      <c r="I415" t="s">
        <v>32</v>
      </c>
    </row>
    <row r="416" spans="1:9" x14ac:dyDescent="0.35">
      <c r="A416">
        <v>415</v>
      </c>
      <c r="B416">
        <v>174</v>
      </c>
      <c r="C416">
        <v>1</v>
      </c>
      <c r="D416" s="1">
        <v>42064</v>
      </c>
      <c r="E416">
        <v>16</v>
      </c>
      <c r="F416">
        <v>16</v>
      </c>
      <c r="G416" t="s">
        <v>9</v>
      </c>
      <c r="H416" t="s">
        <v>10</v>
      </c>
      <c r="I416" t="s">
        <v>27</v>
      </c>
    </row>
    <row r="417" spans="1:9" x14ac:dyDescent="0.35">
      <c r="A417">
        <v>416</v>
      </c>
      <c r="B417">
        <v>175</v>
      </c>
      <c r="C417">
        <v>1</v>
      </c>
      <c r="D417" s="1">
        <v>42064</v>
      </c>
      <c r="E417">
        <v>20.75</v>
      </c>
      <c r="F417">
        <v>20.75</v>
      </c>
      <c r="G417" t="s">
        <v>13</v>
      </c>
      <c r="H417" t="s">
        <v>16</v>
      </c>
      <c r="I417" t="s">
        <v>17</v>
      </c>
    </row>
    <row r="418" spans="1:9" x14ac:dyDescent="0.35">
      <c r="A418">
        <v>417</v>
      </c>
      <c r="B418">
        <v>176</v>
      </c>
      <c r="C418">
        <v>1</v>
      </c>
      <c r="D418" s="1">
        <v>42064</v>
      </c>
      <c r="E418">
        <v>20.75</v>
      </c>
      <c r="F418">
        <v>20.75</v>
      </c>
      <c r="G418" t="s">
        <v>13</v>
      </c>
      <c r="H418" t="s">
        <v>19</v>
      </c>
      <c r="I418" t="s">
        <v>32</v>
      </c>
    </row>
    <row r="419" spans="1:9" x14ac:dyDescent="0.35">
      <c r="A419">
        <v>418</v>
      </c>
      <c r="B419">
        <v>176</v>
      </c>
      <c r="C419">
        <v>1</v>
      </c>
      <c r="D419" s="1">
        <v>42064</v>
      </c>
      <c r="E419">
        <v>16.5</v>
      </c>
      <c r="F419">
        <v>16.5</v>
      </c>
      <c r="G419" t="s">
        <v>9</v>
      </c>
      <c r="H419" t="s">
        <v>16</v>
      </c>
      <c r="I419" t="s">
        <v>42</v>
      </c>
    </row>
    <row r="420" spans="1:9" x14ac:dyDescent="0.35">
      <c r="A420">
        <v>419</v>
      </c>
      <c r="B420">
        <v>177</v>
      </c>
      <c r="C420">
        <v>1</v>
      </c>
      <c r="D420" s="1">
        <v>42064</v>
      </c>
      <c r="E420">
        <v>12</v>
      </c>
      <c r="F420">
        <v>12</v>
      </c>
      <c r="G420" t="s">
        <v>22</v>
      </c>
      <c r="H420" t="s">
        <v>10</v>
      </c>
      <c r="I420" t="s">
        <v>38</v>
      </c>
    </row>
    <row r="421" spans="1:9" x14ac:dyDescent="0.35">
      <c r="A421">
        <v>420</v>
      </c>
      <c r="B421">
        <v>177</v>
      </c>
      <c r="C421">
        <v>1</v>
      </c>
      <c r="D421" s="1">
        <v>42064</v>
      </c>
      <c r="E421">
        <v>20.75</v>
      </c>
      <c r="F421">
        <v>20.75</v>
      </c>
      <c r="G421" t="s">
        <v>13</v>
      </c>
      <c r="H421" t="s">
        <v>19</v>
      </c>
      <c r="I421" t="s">
        <v>20</v>
      </c>
    </row>
    <row r="422" spans="1:9" x14ac:dyDescent="0.35">
      <c r="A422">
        <v>421</v>
      </c>
      <c r="B422">
        <v>178</v>
      </c>
      <c r="C422">
        <v>1</v>
      </c>
      <c r="D422" s="1">
        <v>42064</v>
      </c>
      <c r="E422">
        <v>20.75</v>
      </c>
      <c r="F422">
        <v>20.75</v>
      </c>
      <c r="G422" t="s">
        <v>13</v>
      </c>
      <c r="H422" t="s">
        <v>16</v>
      </c>
      <c r="I422" t="s">
        <v>42</v>
      </c>
    </row>
    <row r="423" spans="1:9" x14ac:dyDescent="0.35">
      <c r="A423">
        <v>422</v>
      </c>
      <c r="B423">
        <v>179</v>
      </c>
      <c r="C423">
        <v>1</v>
      </c>
      <c r="D423" s="1">
        <v>42064</v>
      </c>
      <c r="E423">
        <v>16.5</v>
      </c>
      <c r="F423">
        <v>16.5</v>
      </c>
      <c r="G423" t="s">
        <v>13</v>
      </c>
      <c r="H423" t="s">
        <v>10</v>
      </c>
      <c r="I423" t="s">
        <v>11</v>
      </c>
    </row>
    <row r="424" spans="1:9" x14ac:dyDescent="0.35">
      <c r="A424">
        <v>423</v>
      </c>
      <c r="B424">
        <v>179</v>
      </c>
      <c r="C424">
        <v>1</v>
      </c>
      <c r="D424" s="1">
        <v>42064</v>
      </c>
      <c r="E424">
        <v>16.25</v>
      </c>
      <c r="F424">
        <v>16.25</v>
      </c>
      <c r="G424" t="s">
        <v>9</v>
      </c>
      <c r="H424" t="s">
        <v>16</v>
      </c>
      <c r="I424" t="s">
        <v>44</v>
      </c>
    </row>
    <row r="425" spans="1:9" x14ac:dyDescent="0.35">
      <c r="A425">
        <v>424</v>
      </c>
      <c r="B425">
        <v>179</v>
      </c>
      <c r="C425">
        <v>1</v>
      </c>
      <c r="D425" s="1">
        <v>42064</v>
      </c>
      <c r="E425">
        <v>12</v>
      </c>
      <c r="F425">
        <v>12</v>
      </c>
      <c r="G425" t="s">
        <v>22</v>
      </c>
      <c r="H425" t="s">
        <v>14</v>
      </c>
      <c r="I425" t="s">
        <v>30</v>
      </c>
    </row>
    <row r="426" spans="1:9" x14ac:dyDescent="0.35">
      <c r="A426">
        <v>425</v>
      </c>
      <c r="B426">
        <v>180</v>
      </c>
      <c r="C426">
        <v>1</v>
      </c>
      <c r="D426" s="1">
        <v>42064</v>
      </c>
      <c r="E426">
        <v>20.5</v>
      </c>
      <c r="F426">
        <v>20.5</v>
      </c>
      <c r="G426" t="s">
        <v>13</v>
      </c>
      <c r="H426" t="s">
        <v>10</v>
      </c>
      <c r="I426" t="s">
        <v>12</v>
      </c>
    </row>
    <row r="427" spans="1:9" x14ac:dyDescent="0.35">
      <c r="A427">
        <v>426</v>
      </c>
      <c r="B427">
        <v>180</v>
      </c>
      <c r="C427">
        <v>1</v>
      </c>
      <c r="D427" s="1">
        <v>42064</v>
      </c>
      <c r="E427">
        <v>20.75</v>
      </c>
      <c r="F427">
        <v>20.75</v>
      </c>
      <c r="G427" t="s">
        <v>13</v>
      </c>
      <c r="H427" t="s">
        <v>16</v>
      </c>
      <c r="I427" t="s">
        <v>21</v>
      </c>
    </row>
    <row r="428" spans="1:9" x14ac:dyDescent="0.35">
      <c r="A428">
        <v>427</v>
      </c>
      <c r="B428">
        <v>181</v>
      </c>
      <c r="C428">
        <v>1</v>
      </c>
      <c r="D428" s="1">
        <v>42064</v>
      </c>
      <c r="E428">
        <v>20.25</v>
      </c>
      <c r="F428">
        <v>20.25</v>
      </c>
      <c r="G428" t="s">
        <v>13</v>
      </c>
      <c r="H428" t="s">
        <v>14</v>
      </c>
      <c r="I428" t="s">
        <v>18</v>
      </c>
    </row>
    <row r="429" spans="1:9" x14ac:dyDescent="0.35">
      <c r="A429">
        <v>428</v>
      </c>
      <c r="B429">
        <v>182</v>
      </c>
      <c r="C429">
        <v>1</v>
      </c>
      <c r="D429" s="1">
        <v>42064</v>
      </c>
      <c r="E429">
        <v>23.65</v>
      </c>
      <c r="F429">
        <v>23.65</v>
      </c>
      <c r="G429" t="s">
        <v>22</v>
      </c>
      <c r="H429" t="s">
        <v>16</v>
      </c>
      <c r="I429" t="s">
        <v>48</v>
      </c>
    </row>
    <row r="430" spans="1:9" x14ac:dyDescent="0.35">
      <c r="A430">
        <v>429</v>
      </c>
      <c r="B430">
        <v>182</v>
      </c>
      <c r="C430">
        <v>1</v>
      </c>
      <c r="D430" s="1">
        <v>42064</v>
      </c>
      <c r="E430">
        <v>20.75</v>
      </c>
      <c r="F430">
        <v>20.75</v>
      </c>
      <c r="G430" t="s">
        <v>13</v>
      </c>
      <c r="H430" t="s">
        <v>16</v>
      </c>
      <c r="I430" t="s">
        <v>42</v>
      </c>
    </row>
    <row r="431" spans="1:9" x14ac:dyDescent="0.35">
      <c r="A431">
        <v>430</v>
      </c>
      <c r="B431">
        <v>183</v>
      </c>
      <c r="C431">
        <v>1</v>
      </c>
      <c r="D431" s="1">
        <v>42064</v>
      </c>
      <c r="E431">
        <v>16</v>
      </c>
      <c r="F431">
        <v>16</v>
      </c>
      <c r="G431" t="s">
        <v>9</v>
      </c>
      <c r="H431" t="s">
        <v>10</v>
      </c>
      <c r="I431" t="s">
        <v>38</v>
      </c>
    </row>
    <row r="432" spans="1:9" x14ac:dyDescent="0.35">
      <c r="A432">
        <v>431</v>
      </c>
      <c r="B432">
        <v>183</v>
      </c>
      <c r="C432">
        <v>1</v>
      </c>
      <c r="D432" s="1">
        <v>42064</v>
      </c>
      <c r="E432">
        <v>20.75</v>
      </c>
      <c r="F432">
        <v>20.75</v>
      </c>
      <c r="G432" t="s">
        <v>13</v>
      </c>
      <c r="H432" t="s">
        <v>14</v>
      </c>
      <c r="I432" t="s">
        <v>29</v>
      </c>
    </row>
    <row r="433" spans="1:9" x14ac:dyDescent="0.35">
      <c r="A433">
        <v>432</v>
      </c>
      <c r="B433">
        <v>183</v>
      </c>
      <c r="C433">
        <v>1</v>
      </c>
      <c r="D433" s="1">
        <v>42064</v>
      </c>
      <c r="E433">
        <v>12.5</v>
      </c>
      <c r="F433">
        <v>12.5</v>
      </c>
      <c r="G433" t="s">
        <v>22</v>
      </c>
      <c r="H433" t="s">
        <v>14</v>
      </c>
      <c r="I433" t="s">
        <v>29</v>
      </c>
    </row>
    <row r="434" spans="1:9" x14ac:dyDescent="0.35">
      <c r="A434">
        <v>433</v>
      </c>
      <c r="B434">
        <v>184</v>
      </c>
      <c r="C434">
        <v>1</v>
      </c>
      <c r="D434" s="1">
        <v>42064</v>
      </c>
      <c r="E434">
        <v>16.5</v>
      </c>
      <c r="F434">
        <v>16.5</v>
      </c>
      <c r="G434" t="s">
        <v>13</v>
      </c>
      <c r="H434" t="s">
        <v>10</v>
      </c>
      <c r="I434" t="s">
        <v>11</v>
      </c>
    </row>
    <row r="435" spans="1:9" x14ac:dyDescent="0.35">
      <c r="A435">
        <v>434</v>
      </c>
      <c r="B435">
        <v>185</v>
      </c>
      <c r="C435">
        <v>1</v>
      </c>
      <c r="D435" s="1">
        <v>42064</v>
      </c>
      <c r="E435">
        <v>16.25</v>
      </c>
      <c r="F435">
        <v>16.25</v>
      </c>
      <c r="G435" t="s">
        <v>9</v>
      </c>
      <c r="H435" t="s">
        <v>16</v>
      </c>
      <c r="I435" t="s">
        <v>44</v>
      </c>
    </row>
    <row r="436" spans="1:9" x14ac:dyDescent="0.35">
      <c r="A436">
        <v>435</v>
      </c>
      <c r="B436">
        <v>185</v>
      </c>
      <c r="C436">
        <v>1</v>
      </c>
      <c r="D436" s="1">
        <v>42064</v>
      </c>
      <c r="E436">
        <v>12.5</v>
      </c>
      <c r="F436">
        <v>12.5</v>
      </c>
      <c r="G436" t="s">
        <v>22</v>
      </c>
      <c r="H436" t="s">
        <v>14</v>
      </c>
      <c r="I436" t="s">
        <v>29</v>
      </c>
    </row>
    <row r="437" spans="1:9" x14ac:dyDescent="0.35">
      <c r="A437">
        <v>436</v>
      </c>
      <c r="B437">
        <v>186</v>
      </c>
      <c r="C437">
        <v>1</v>
      </c>
      <c r="D437" s="1">
        <v>42064</v>
      </c>
      <c r="E437">
        <v>20.25</v>
      </c>
      <c r="F437">
        <v>20.25</v>
      </c>
      <c r="G437" t="s">
        <v>13</v>
      </c>
      <c r="H437" t="s">
        <v>14</v>
      </c>
      <c r="I437" t="s">
        <v>18</v>
      </c>
    </row>
    <row r="438" spans="1:9" x14ac:dyDescent="0.35">
      <c r="A438">
        <v>437</v>
      </c>
      <c r="B438">
        <v>186</v>
      </c>
      <c r="C438">
        <v>1</v>
      </c>
      <c r="D438" s="1">
        <v>42064</v>
      </c>
      <c r="E438">
        <v>20.75</v>
      </c>
      <c r="F438">
        <v>20.75</v>
      </c>
      <c r="G438" t="s">
        <v>13</v>
      </c>
      <c r="H438" t="s">
        <v>19</v>
      </c>
      <c r="I438" t="s">
        <v>31</v>
      </c>
    </row>
    <row r="439" spans="1:9" x14ac:dyDescent="0.35">
      <c r="A439">
        <v>438</v>
      </c>
      <c r="B439">
        <v>186</v>
      </c>
      <c r="C439">
        <v>1</v>
      </c>
      <c r="D439" s="1">
        <v>42064</v>
      </c>
      <c r="E439">
        <v>20.75</v>
      </c>
      <c r="F439">
        <v>20.75</v>
      </c>
      <c r="G439" t="s">
        <v>13</v>
      </c>
      <c r="H439" t="s">
        <v>14</v>
      </c>
      <c r="I439" t="s">
        <v>29</v>
      </c>
    </row>
    <row r="440" spans="1:9" x14ac:dyDescent="0.35">
      <c r="A440">
        <v>439</v>
      </c>
      <c r="B440">
        <v>186</v>
      </c>
      <c r="C440">
        <v>1</v>
      </c>
      <c r="D440" s="1">
        <v>42064</v>
      </c>
      <c r="E440">
        <v>20.75</v>
      </c>
      <c r="F440">
        <v>20.75</v>
      </c>
      <c r="G440" t="s">
        <v>13</v>
      </c>
      <c r="H440" t="s">
        <v>19</v>
      </c>
      <c r="I440" t="s">
        <v>20</v>
      </c>
    </row>
    <row r="441" spans="1:9" x14ac:dyDescent="0.35">
      <c r="A441">
        <v>440</v>
      </c>
      <c r="B441">
        <v>187</v>
      </c>
      <c r="C441">
        <v>1</v>
      </c>
      <c r="D441" s="1">
        <v>42064</v>
      </c>
      <c r="E441">
        <v>18.5</v>
      </c>
      <c r="F441">
        <v>18.5</v>
      </c>
      <c r="G441" t="s">
        <v>13</v>
      </c>
      <c r="H441" t="s">
        <v>14</v>
      </c>
      <c r="I441" t="s">
        <v>15</v>
      </c>
    </row>
    <row r="442" spans="1:9" x14ac:dyDescent="0.35">
      <c r="A442">
        <v>441</v>
      </c>
      <c r="B442">
        <v>187</v>
      </c>
      <c r="C442">
        <v>1</v>
      </c>
      <c r="D442" s="1">
        <v>42064</v>
      </c>
      <c r="E442">
        <v>20.75</v>
      </c>
      <c r="F442">
        <v>20.75</v>
      </c>
      <c r="G442" t="s">
        <v>13</v>
      </c>
      <c r="H442" t="s">
        <v>14</v>
      </c>
      <c r="I442" t="s">
        <v>29</v>
      </c>
    </row>
    <row r="443" spans="1:9" x14ac:dyDescent="0.35">
      <c r="A443">
        <v>442</v>
      </c>
      <c r="B443">
        <v>188</v>
      </c>
      <c r="C443">
        <v>1</v>
      </c>
      <c r="D443" s="1">
        <v>42064</v>
      </c>
      <c r="E443">
        <v>18.5</v>
      </c>
      <c r="F443">
        <v>18.5</v>
      </c>
      <c r="G443" t="s">
        <v>13</v>
      </c>
      <c r="H443" t="s">
        <v>14</v>
      </c>
      <c r="I443" t="s">
        <v>15</v>
      </c>
    </row>
    <row r="444" spans="1:9" x14ac:dyDescent="0.35">
      <c r="A444">
        <v>443</v>
      </c>
      <c r="B444">
        <v>188</v>
      </c>
      <c r="C444">
        <v>1</v>
      </c>
      <c r="D444" s="1">
        <v>42064</v>
      </c>
      <c r="E444">
        <v>9.75</v>
      </c>
      <c r="F444">
        <v>9.75</v>
      </c>
      <c r="G444" t="s">
        <v>22</v>
      </c>
      <c r="H444" t="s">
        <v>10</v>
      </c>
      <c r="I444" t="s">
        <v>33</v>
      </c>
    </row>
    <row r="445" spans="1:9" x14ac:dyDescent="0.35">
      <c r="A445">
        <v>444</v>
      </c>
      <c r="B445">
        <v>188</v>
      </c>
      <c r="C445">
        <v>1</v>
      </c>
      <c r="D445" s="1">
        <v>42064</v>
      </c>
      <c r="E445">
        <v>20.75</v>
      </c>
      <c r="F445">
        <v>20.75</v>
      </c>
      <c r="G445" t="s">
        <v>13</v>
      </c>
      <c r="H445" t="s">
        <v>16</v>
      </c>
      <c r="I445" t="s">
        <v>42</v>
      </c>
    </row>
    <row r="446" spans="1:9" x14ac:dyDescent="0.35">
      <c r="A446">
        <v>445</v>
      </c>
      <c r="B446">
        <v>189</v>
      </c>
      <c r="C446">
        <v>2</v>
      </c>
      <c r="D446" s="1">
        <v>42064</v>
      </c>
      <c r="E446">
        <v>12</v>
      </c>
      <c r="F446">
        <v>24</v>
      </c>
      <c r="G446" t="s">
        <v>22</v>
      </c>
      <c r="H446" t="s">
        <v>10</v>
      </c>
      <c r="I446" t="s">
        <v>35</v>
      </c>
    </row>
    <row r="447" spans="1:9" x14ac:dyDescent="0.35">
      <c r="A447">
        <v>446</v>
      </c>
      <c r="B447">
        <v>189</v>
      </c>
      <c r="C447">
        <v>1</v>
      </c>
      <c r="D447" s="1">
        <v>42064</v>
      </c>
      <c r="E447">
        <v>12.75</v>
      </c>
      <c r="F447">
        <v>12.75</v>
      </c>
      <c r="G447" t="s">
        <v>22</v>
      </c>
      <c r="H447" t="s">
        <v>19</v>
      </c>
      <c r="I447" t="s">
        <v>20</v>
      </c>
    </row>
    <row r="448" spans="1:9" x14ac:dyDescent="0.35">
      <c r="A448">
        <v>447</v>
      </c>
      <c r="B448">
        <v>190</v>
      </c>
      <c r="C448">
        <v>1</v>
      </c>
      <c r="D448" s="1">
        <v>42064</v>
      </c>
      <c r="E448">
        <v>20.75</v>
      </c>
      <c r="F448">
        <v>20.75</v>
      </c>
      <c r="G448" t="s">
        <v>13</v>
      </c>
      <c r="H448" t="s">
        <v>19</v>
      </c>
      <c r="I448" t="s">
        <v>23</v>
      </c>
    </row>
    <row r="449" spans="1:9" x14ac:dyDescent="0.35">
      <c r="A449">
        <v>448</v>
      </c>
      <c r="B449">
        <v>190</v>
      </c>
      <c r="C449">
        <v>1</v>
      </c>
      <c r="D449" s="1">
        <v>42064</v>
      </c>
      <c r="E449">
        <v>14.75</v>
      </c>
      <c r="F449">
        <v>14.75</v>
      </c>
      <c r="G449" t="s">
        <v>9</v>
      </c>
      <c r="H449" t="s">
        <v>14</v>
      </c>
      <c r="I449" t="s">
        <v>37</v>
      </c>
    </row>
    <row r="450" spans="1:9" x14ac:dyDescent="0.35">
      <c r="A450">
        <v>449</v>
      </c>
      <c r="B450">
        <v>190</v>
      </c>
      <c r="C450">
        <v>1</v>
      </c>
      <c r="D450" s="1">
        <v>42064</v>
      </c>
      <c r="E450">
        <v>11</v>
      </c>
      <c r="F450">
        <v>11</v>
      </c>
      <c r="G450" t="s">
        <v>22</v>
      </c>
      <c r="H450" t="s">
        <v>10</v>
      </c>
      <c r="I450" t="s">
        <v>46</v>
      </c>
    </row>
    <row r="451" spans="1:9" x14ac:dyDescent="0.35">
      <c r="A451">
        <v>450</v>
      </c>
      <c r="B451">
        <v>190</v>
      </c>
      <c r="C451">
        <v>1</v>
      </c>
      <c r="D451" s="1">
        <v>42064</v>
      </c>
      <c r="E451">
        <v>20.75</v>
      </c>
      <c r="F451">
        <v>20.75</v>
      </c>
      <c r="G451" t="s">
        <v>13</v>
      </c>
      <c r="H451" t="s">
        <v>16</v>
      </c>
      <c r="I451" t="s">
        <v>21</v>
      </c>
    </row>
    <row r="452" spans="1:9" x14ac:dyDescent="0.35">
      <c r="A452">
        <v>451</v>
      </c>
      <c r="B452">
        <v>191</v>
      </c>
      <c r="C452">
        <v>1</v>
      </c>
      <c r="D452" s="1">
        <v>42064</v>
      </c>
      <c r="E452">
        <v>20.75</v>
      </c>
      <c r="F452">
        <v>20.75</v>
      </c>
      <c r="G452" t="s">
        <v>13</v>
      </c>
      <c r="H452" t="s">
        <v>19</v>
      </c>
      <c r="I452" t="s">
        <v>32</v>
      </c>
    </row>
    <row r="453" spans="1:9" x14ac:dyDescent="0.35">
      <c r="A453">
        <v>452</v>
      </c>
      <c r="B453">
        <v>191</v>
      </c>
      <c r="C453">
        <v>1</v>
      </c>
      <c r="D453" s="1">
        <v>42064</v>
      </c>
      <c r="E453">
        <v>16.75</v>
      </c>
      <c r="F453">
        <v>16.75</v>
      </c>
      <c r="G453" t="s">
        <v>9</v>
      </c>
      <c r="H453" t="s">
        <v>19</v>
      </c>
      <c r="I453" t="s">
        <v>45</v>
      </c>
    </row>
    <row r="454" spans="1:9" x14ac:dyDescent="0.35">
      <c r="A454">
        <v>453</v>
      </c>
      <c r="B454">
        <v>192</v>
      </c>
      <c r="C454">
        <v>1</v>
      </c>
      <c r="D454" s="1">
        <v>42064</v>
      </c>
      <c r="E454">
        <v>12.25</v>
      </c>
      <c r="F454">
        <v>12.25</v>
      </c>
      <c r="G454" t="s">
        <v>22</v>
      </c>
      <c r="H454" t="s">
        <v>16</v>
      </c>
      <c r="I454" t="s">
        <v>44</v>
      </c>
    </row>
    <row r="455" spans="1:9" x14ac:dyDescent="0.35">
      <c r="A455">
        <v>454</v>
      </c>
      <c r="B455">
        <v>192</v>
      </c>
      <c r="C455">
        <v>1</v>
      </c>
      <c r="D455" s="1">
        <v>42064</v>
      </c>
      <c r="E455">
        <v>20.75</v>
      </c>
      <c r="F455">
        <v>20.75</v>
      </c>
      <c r="G455" t="s">
        <v>13</v>
      </c>
      <c r="H455" t="s">
        <v>19</v>
      </c>
      <c r="I455" t="s">
        <v>31</v>
      </c>
    </row>
    <row r="456" spans="1:9" x14ac:dyDescent="0.35">
      <c r="A456">
        <v>455</v>
      </c>
      <c r="B456">
        <v>193</v>
      </c>
      <c r="C456">
        <v>1</v>
      </c>
      <c r="D456" s="1">
        <v>42064</v>
      </c>
      <c r="E456">
        <v>12</v>
      </c>
      <c r="F456">
        <v>12</v>
      </c>
      <c r="G456" t="s">
        <v>22</v>
      </c>
      <c r="H456" t="s">
        <v>10</v>
      </c>
      <c r="I456" t="s">
        <v>35</v>
      </c>
    </row>
    <row r="457" spans="1:9" x14ac:dyDescent="0.35">
      <c r="A457">
        <v>456</v>
      </c>
      <c r="B457">
        <v>193</v>
      </c>
      <c r="C457">
        <v>1</v>
      </c>
      <c r="D457" s="1">
        <v>42064</v>
      </c>
      <c r="E457">
        <v>16.75</v>
      </c>
      <c r="F457">
        <v>16.75</v>
      </c>
      <c r="G457" t="s">
        <v>9</v>
      </c>
      <c r="H457" t="s">
        <v>19</v>
      </c>
      <c r="I457" t="s">
        <v>32</v>
      </c>
    </row>
    <row r="458" spans="1:9" x14ac:dyDescent="0.35">
      <c r="A458">
        <v>457</v>
      </c>
      <c r="B458">
        <v>193</v>
      </c>
      <c r="C458">
        <v>2</v>
      </c>
      <c r="D458" s="1">
        <v>42064</v>
      </c>
      <c r="E458">
        <v>20.75</v>
      </c>
      <c r="F458">
        <v>41.5</v>
      </c>
      <c r="G458" t="s">
        <v>13</v>
      </c>
      <c r="H458" t="s">
        <v>19</v>
      </c>
      <c r="I458" t="s">
        <v>45</v>
      </c>
    </row>
    <row r="459" spans="1:9" x14ac:dyDescent="0.35">
      <c r="A459">
        <v>458</v>
      </c>
      <c r="B459">
        <v>194</v>
      </c>
      <c r="C459">
        <v>1</v>
      </c>
      <c r="D459" s="1">
        <v>42064</v>
      </c>
      <c r="E459">
        <v>12.75</v>
      </c>
      <c r="F459">
        <v>12.75</v>
      </c>
      <c r="G459" t="s">
        <v>22</v>
      </c>
      <c r="H459" t="s">
        <v>19</v>
      </c>
      <c r="I459" t="s">
        <v>23</v>
      </c>
    </row>
    <row r="460" spans="1:9" x14ac:dyDescent="0.35">
      <c r="A460">
        <v>459</v>
      </c>
      <c r="B460">
        <v>195</v>
      </c>
      <c r="C460">
        <v>1</v>
      </c>
      <c r="D460" s="1">
        <v>42064</v>
      </c>
      <c r="E460">
        <v>20.75</v>
      </c>
      <c r="F460">
        <v>20.75</v>
      </c>
      <c r="G460" t="s">
        <v>13</v>
      </c>
      <c r="H460" t="s">
        <v>19</v>
      </c>
      <c r="I460" t="s">
        <v>23</v>
      </c>
    </row>
    <row r="461" spans="1:9" x14ac:dyDescent="0.35">
      <c r="A461">
        <v>460</v>
      </c>
      <c r="B461">
        <v>196</v>
      </c>
      <c r="C461">
        <v>1</v>
      </c>
      <c r="D461" s="1">
        <v>42064</v>
      </c>
      <c r="E461">
        <v>12.25</v>
      </c>
      <c r="F461">
        <v>12.25</v>
      </c>
      <c r="G461" t="s">
        <v>22</v>
      </c>
      <c r="H461" t="s">
        <v>16</v>
      </c>
      <c r="I461" t="s">
        <v>44</v>
      </c>
    </row>
    <row r="462" spans="1:9" x14ac:dyDescent="0.35">
      <c r="A462">
        <v>461</v>
      </c>
      <c r="B462">
        <v>196</v>
      </c>
      <c r="C462">
        <v>1</v>
      </c>
      <c r="D462" s="1">
        <v>42064</v>
      </c>
      <c r="E462">
        <v>16.5</v>
      </c>
      <c r="F462">
        <v>16.5</v>
      </c>
      <c r="G462" t="s">
        <v>9</v>
      </c>
      <c r="H462" t="s">
        <v>16</v>
      </c>
      <c r="I462" t="s">
        <v>28</v>
      </c>
    </row>
    <row r="463" spans="1:9" x14ac:dyDescent="0.35">
      <c r="A463">
        <v>462</v>
      </c>
      <c r="B463">
        <v>196</v>
      </c>
      <c r="C463">
        <v>1</v>
      </c>
      <c r="D463" s="1">
        <v>42064</v>
      </c>
      <c r="E463">
        <v>16</v>
      </c>
      <c r="F463">
        <v>16</v>
      </c>
      <c r="G463" t="s">
        <v>9</v>
      </c>
      <c r="H463" t="s">
        <v>14</v>
      </c>
      <c r="I463" t="s">
        <v>30</v>
      </c>
    </row>
    <row r="464" spans="1:9" x14ac:dyDescent="0.35">
      <c r="A464">
        <v>463</v>
      </c>
      <c r="B464">
        <v>197</v>
      </c>
      <c r="C464">
        <v>1</v>
      </c>
      <c r="D464" s="1">
        <v>42064</v>
      </c>
      <c r="E464">
        <v>17.95</v>
      </c>
      <c r="F464">
        <v>17.95</v>
      </c>
      <c r="G464" t="s">
        <v>13</v>
      </c>
      <c r="H464" t="s">
        <v>14</v>
      </c>
      <c r="I464" t="s">
        <v>37</v>
      </c>
    </row>
    <row r="465" spans="1:9" x14ac:dyDescent="0.35">
      <c r="A465">
        <v>464</v>
      </c>
      <c r="B465">
        <v>197</v>
      </c>
      <c r="C465">
        <v>1</v>
      </c>
      <c r="D465" s="1">
        <v>42064</v>
      </c>
      <c r="E465">
        <v>20.5</v>
      </c>
      <c r="F465">
        <v>20.5</v>
      </c>
      <c r="G465" t="s">
        <v>13</v>
      </c>
      <c r="H465" t="s">
        <v>10</v>
      </c>
      <c r="I465" t="s">
        <v>27</v>
      </c>
    </row>
    <row r="466" spans="1:9" x14ac:dyDescent="0.35">
      <c r="A466">
        <v>465</v>
      </c>
      <c r="B466">
        <v>197</v>
      </c>
      <c r="C466">
        <v>1</v>
      </c>
      <c r="D466" s="1">
        <v>42064</v>
      </c>
      <c r="E466">
        <v>21</v>
      </c>
      <c r="F466">
        <v>21</v>
      </c>
      <c r="G466" t="s">
        <v>13</v>
      </c>
      <c r="H466" t="s">
        <v>14</v>
      </c>
      <c r="I466" t="s">
        <v>40</v>
      </c>
    </row>
    <row r="467" spans="1:9" x14ac:dyDescent="0.35">
      <c r="A467">
        <v>466</v>
      </c>
      <c r="B467">
        <v>197</v>
      </c>
      <c r="C467">
        <v>1</v>
      </c>
      <c r="D467" s="1">
        <v>42064</v>
      </c>
      <c r="E467">
        <v>20.75</v>
      </c>
      <c r="F467">
        <v>20.75</v>
      </c>
      <c r="G467" t="s">
        <v>13</v>
      </c>
      <c r="H467" t="s">
        <v>16</v>
      </c>
      <c r="I467" t="s">
        <v>36</v>
      </c>
    </row>
    <row r="468" spans="1:9" x14ac:dyDescent="0.35">
      <c r="A468">
        <v>467</v>
      </c>
      <c r="B468">
        <v>198</v>
      </c>
      <c r="C468">
        <v>1</v>
      </c>
      <c r="D468" s="1">
        <v>42064</v>
      </c>
      <c r="E468">
        <v>12</v>
      </c>
      <c r="F468">
        <v>12</v>
      </c>
      <c r="G468" t="s">
        <v>22</v>
      </c>
      <c r="H468" t="s">
        <v>10</v>
      </c>
      <c r="I468" t="s">
        <v>35</v>
      </c>
    </row>
    <row r="469" spans="1:9" x14ac:dyDescent="0.35">
      <c r="A469">
        <v>468</v>
      </c>
      <c r="B469">
        <v>198</v>
      </c>
      <c r="C469">
        <v>1</v>
      </c>
      <c r="D469" s="1">
        <v>42064</v>
      </c>
      <c r="E469">
        <v>20.75</v>
      </c>
      <c r="F469">
        <v>20.75</v>
      </c>
      <c r="G469" t="s">
        <v>13</v>
      </c>
      <c r="H469" t="s">
        <v>19</v>
      </c>
      <c r="I469" t="s">
        <v>45</v>
      </c>
    </row>
    <row r="470" spans="1:9" x14ac:dyDescent="0.35">
      <c r="A470">
        <v>469</v>
      </c>
      <c r="B470">
        <v>199</v>
      </c>
      <c r="C470">
        <v>1</v>
      </c>
      <c r="D470" s="1">
        <v>42064</v>
      </c>
      <c r="E470">
        <v>16.75</v>
      </c>
      <c r="F470">
        <v>16.75</v>
      </c>
      <c r="G470" t="s">
        <v>9</v>
      </c>
      <c r="H470" t="s">
        <v>19</v>
      </c>
      <c r="I470" t="s">
        <v>45</v>
      </c>
    </row>
    <row r="471" spans="1:9" x14ac:dyDescent="0.35">
      <c r="A471">
        <v>470</v>
      </c>
      <c r="B471">
        <v>200</v>
      </c>
      <c r="C471">
        <v>1</v>
      </c>
      <c r="D471" s="1">
        <v>42064</v>
      </c>
      <c r="E471">
        <v>25.5</v>
      </c>
      <c r="F471">
        <v>25.5</v>
      </c>
      <c r="G471" t="s">
        <v>47</v>
      </c>
      <c r="H471" t="s">
        <v>10</v>
      </c>
      <c r="I471" t="s">
        <v>24</v>
      </c>
    </row>
    <row r="472" spans="1:9" x14ac:dyDescent="0.35">
      <c r="A472">
        <v>471</v>
      </c>
      <c r="B472">
        <v>201</v>
      </c>
      <c r="C472">
        <v>1</v>
      </c>
      <c r="D472" s="1">
        <v>42064</v>
      </c>
      <c r="E472">
        <v>16.25</v>
      </c>
      <c r="F472">
        <v>16.25</v>
      </c>
      <c r="G472" t="s">
        <v>9</v>
      </c>
      <c r="H472" t="s">
        <v>16</v>
      </c>
      <c r="I472" t="s">
        <v>39</v>
      </c>
    </row>
    <row r="473" spans="1:9" x14ac:dyDescent="0.35">
      <c r="A473">
        <v>472</v>
      </c>
      <c r="B473">
        <v>201</v>
      </c>
      <c r="C473">
        <v>1</v>
      </c>
      <c r="D473" s="1">
        <v>42064</v>
      </c>
      <c r="E473">
        <v>20.75</v>
      </c>
      <c r="F473">
        <v>20.75</v>
      </c>
      <c r="G473" t="s">
        <v>13</v>
      </c>
      <c r="H473" t="s">
        <v>19</v>
      </c>
      <c r="I473" t="s">
        <v>34</v>
      </c>
    </row>
    <row r="474" spans="1:9" x14ac:dyDescent="0.35">
      <c r="A474">
        <v>473</v>
      </c>
      <c r="B474">
        <v>201</v>
      </c>
      <c r="C474">
        <v>1</v>
      </c>
      <c r="D474" s="1">
        <v>42064</v>
      </c>
      <c r="E474">
        <v>20.75</v>
      </c>
      <c r="F474">
        <v>20.75</v>
      </c>
      <c r="G474" t="s">
        <v>13</v>
      </c>
      <c r="H474" t="s">
        <v>16</v>
      </c>
      <c r="I474" t="s">
        <v>17</v>
      </c>
    </row>
    <row r="475" spans="1:9" x14ac:dyDescent="0.35">
      <c r="A475">
        <v>474</v>
      </c>
      <c r="B475">
        <v>201</v>
      </c>
      <c r="C475">
        <v>1</v>
      </c>
      <c r="D475" s="1">
        <v>42064</v>
      </c>
      <c r="E475">
        <v>25.5</v>
      </c>
      <c r="F475">
        <v>25.5</v>
      </c>
      <c r="G475" t="s">
        <v>47</v>
      </c>
      <c r="H475" t="s">
        <v>10</v>
      </c>
      <c r="I475" t="s">
        <v>24</v>
      </c>
    </row>
    <row r="476" spans="1:9" x14ac:dyDescent="0.35">
      <c r="A476">
        <v>475</v>
      </c>
      <c r="B476">
        <v>202</v>
      </c>
      <c r="C476">
        <v>1</v>
      </c>
      <c r="D476" s="1">
        <v>42064</v>
      </c>
      <c r="E476">
        <v>12.75</v>
      </c>
      <c r="F476">
        <v>12.75</v>
      </c>
      <c r="G476" t="s">
        <v>22</v>
      </c>
      <c r="H476" t="s">
        <v>19</v>
      </c>
      <c r="I476" t="s">
        <v>32</v>
      </c>
    </row>
    <row r="477" spans="1:9" x14ac:dyDescent="0.35">
      <c r="A477">
        <v>476</v>
      </c>
      <c r="B477">
        <v>203</v>
      </c>
      <c r="C477">
        <v>1</v>
      </c>
      <c r="D477" s="1">
        <v>42095</v>
      </c>
      <c r="E477">
        <v>20.75</v>
      </c>
      <c r="F477">
        <v>20.75</v>
      </c>
      <c r="G477" t="s">
        <v>13</v>
      </c>
      <c r="H477" t="s">
        <v>19</v>
      </c>
      <c r="I477" t="s">
        <v>32</v>
      </c>
    </row>
    <row r="478" spans="1:9" x14ac:dyDescent="0.35">
      <c r="A478">
        <v>477</v>
      </c>
      <c r="B478">
        <v>203</v>
      </c>
      <c r="C478">
        <v>1</v>
      </c>
      <c r="D478" s="1">
        <v>42095</v>
      </c>
      <c r="E478">
        <v>16.75</v>
      </c>
      <c r="F478">
        <v>16.75</v>
      </c>
      <c r="G478" t="s">
        <v>9</v>
      </c>
      <c r="H478" t="s">
        <v>14</v>
      </c>
      <c r="I478" t="s">
        <v>40</v>
      </c>
    </row>
    <row r="479" spans="1:9" x14ac:dyDescent="0.35">
      <c r="A479">
        <v>478</v>
      </c>
      <c r="B479">
        <v>203</v>
      </c>
      <c r="C479">
        <v>1</v>
      </c>
      <c r="D479" s="1">
        <v>42095</v>
      </c>
      <c r="E479">
        <v>17.5</v>
      </c>
      <c r="F479">
        <v>17.5</v>
      </c>
      <c r="G479" t="s">
        <v>13</v>
      </c>
      <c r="H479" t="s">
        <v>10</v>
      </c>
      <c r="I479" t="s">
        <v>46</v>
      </c>
    </row>
    <row r="480" spans="1:9" x14ac:dyDescent="0.35">
      <c r="A480">
        <v>479</v>
      </c>
      <c r="B480">
        <v>203</v>
      </c>
      <c r="C480">
        <v>1</v>
      </c>
      <c r="D480" s="1">
        <v>42095</v>
      </c>
      <c r="E480">
        <v>12</v>
      </c>
      <c r="F480">
        <v>12</v>
      </c>
      <c r="G480" t="s">
        <v>22</v>
      </c>
      <c r="H480" t="s">
        <v>10</v>
      </c>
      <c r="I480" t="s">
        <v>24</v>
      </c>
    </row>
    <row r="481" spans="1:9" x14ac:dyDescent="0.35">
      <c r="A481">
        <v>480</v>
      </c>
      <c r="B481">
        <v>204</v>
      </c>
      <c r="C481">
        <v>1</v>
      </c>
      <c r="D481" s="1">
        <v>42095</v>
      </c>
      <c r="E481">
        <v>20.75</v>
      </c>
      <c r="F481">
        <v>20.75</v>
      </c>
      <c r="G481" t="s">
        <v>13</v>
      </c>
      <c r="H481" t="s">
        <v>16</v>
      </c>
      <c r="I481" t="s">
        <v>28</v>
      </c>
    </row>
    <row r="482" spans="1:9" x14ac:dyDescent="0.35">
      <c r="A482">
        <v>481</v>
      </c>
      <c r="B482">
        <v>205</v>
      </c>
      <c r="C482">
        <v>1</v>
      </c>
      <c r="D482" s="1">
        <v>42095</v>
      </c>
      <c r="E482">
        <v>12.75</v>
      </c>
      <c r="F482">
        <v>12.75</v>
      </c>
      <c r="G482" t="s">
        <v>22</v>
      </c>
      <c r="H482" t="s">
        <v>19</v>
      </c>
      <c r="I482" t="s">
        <v>32</v>
      </c>
    </row>
    <row r="483" spans="1:9" x14ac:dyDescent="0.35">
      <c r="A483">
        <v>482</v>
      </c>
      <c r="B483">
        <v>205</v>
      </c>
      <c r="C483">
        <v>1</v>
      </c>
      <c r="D483" s="1">
        <v>42095</v>
      </c>
      <c r="E483">
        <v>16.75</v>
      </c>
      <c r="F483">
        <v>16.75</v>
      </c>
      <c r="G483" t="s">
        <v>9</v>
      </c>
      <c r="H483" t="s">
        <v>19</v>
      </c>
      <c r="I483" t="s">
        <v>45</v>
      </c>
    </row>
    <row r="484" spans="1:9" x14ac:dyDescent="0.35">
      <c r="A484">
        <v>483</v>
      </c>
      <c r="B484">
        <v>205</v>
      </c>
      <c r="C484">
        <v>1</v>
      </c>
      <c r="D484" s="1">
        <v>42095</v>
      </c>
      <c r="E484">
        <v>12.5</v>
      </c>
      <c r="F484">
        <v>12.5</v>
      </c>
      <c r="G484" t="s">
        <v>22</v>
      </c>
      <c r="H484" t="s">
        <v>16</v>
      </c>
      <c r="I484" t="s">
        <v>21</v>
      </c>
    </row>
    <row r="485" spans="1:9" x14ac:dyDescent="0.35">
      <c r="A485">
        <v>484</v>
      </c>
      <c r="B485">
        <v>206</v>
      </c>
      <c r="C485">
        <v>1</v>
      </c>
      <c r="D485" s="1">
        <v>42095</v>
      </c>
      <c r="E485">
        <v>16</v>
      </c>
      <c r="F485">
        <v>16</v>
      </c>
      <c r="G485" t="s">
        <v>9</v>
      </c>
      <c r="H485" t="s">
        <v>10</v>
      </c>
      <c r="I485" t="s">
        <v>38</v>
      </c>
    </row>
    <row r="486" spans="1:9" x14ac:dyDescent="0.35">
      <c r="A486">
        <v>485</v>
      </c>
      <c r="B486">
        <v>206</v>
      </c>
      <c r="C486">
        <v>1</v>
      </c>
      <c r="D486" s="1">
        <v>42095</v>
      </c>
      <c r="E486">
        <v>9.75</v>
      </c>
      <c r="F486">
        <v>9.75</v>
      </c>
      <c r="G486" t="s">
        <v>22</v>
      </c>
      <c r="H486" t="s">
        <v>10</v>
      </c>
      <c r="I486" t="s">
        <v>33</v>
      </c>
    </row>
    <row r="487" spans="1:9" x14ac:dyDescent="0.35">
      <c r="A487">
        <v>486</v>
      </c>
      <c r="B487">
        <v>206</v>
      </c>
      <c r="C487">
        <v>1</v>
      </c>
      <c r="D487" s="1">
        <v>42095</v>
      </c>
      <c r="E487">
        <v>20.75</v>
      </c>
      <c r="F487">
        <v>20.75</v>
      </c>
      <c r="G487" t="s">
        <v>13</v>
      </c>
      <c r="H487" t="s">
        <v>16</v>
      </c>
      <c r="I487" t="s">
        <v>28</v>
      </c>
    </row>
    <row r="488" spans="1:9" x14ac:dyDescent="0.35">
      <c r="A488">
        <v>487</v>
      </c>
      <c r="B488">
        <v>207</v>
      </c>
      <c r="C488">
        <v>1</v>
      </c>
      <c r="D488" s="1">
        <v>42095</v>
      </c>
      <c r="E488">
        <v>20.75</v>
      </c>
      <c r="F488">
        <v>20.75</v>
      </c>
      <c r="G488" t="s">
        <v>13</v>
      </c>
      <c r="H488" t="s">
        <v>16</v>
      </c>
      <c r="I488" t="s">
        <v>28</v>
      </c>
    </row>
    <row r="489" spans="1:9" x14ac:dyDescent="0.35">
      <c r="A489">
        <v>488</v>
      </c>
      <c r="B489">
        <v>208</v>
      </c>
      <c r="C489">
        <v>1</v>
      </c>
      <c r="D489" s="1">
        <v>42095</v>
      </c>
      <c r="E489">
        <v>20.75</v>
      </c>
      <c r="F489">
        <v>20.75</v>
      </c>
      <c r="G489" t="s">
        <v>13</v>
      </c>
      <c r="H489" t="s">
        <v>19</v>
      </c>
      <c r="I489" t="s">
        <v>23</v>
      </c>
    </row>
    <row r="490" spans="1:9" x14ac:dyDescent="0.35">
      <c r="A490">
        <v>489</v>
      </c>
      <c r="B490">
        <v>208</v>
      </c>
      <c r="C490">
        <v>1</v>
      </c>
      <c r="D490" s="1">
        <v>42095</v>
      </c>
      <c r="E490">
        <v>12.75</v>
      </c>
      <c r="F490">
        <v>12.75</v>
      </c>
      <c r="G490" t="s">
        <v>22</v>
      </c>
      <c r="H490" t="s">
        <v>19</v>
      </c>
      <c r="I490" t="s">
        <v>23</v>
      </c>
    </row>
    <row r="491" spans="1:9" x14ac:dyDescent="0.35">
      <c r="A491">
        <v>490</v>
      </c>
      <c r="B491">
        <v>208</v>
      </c>
      <c r="C491">
        <v>1</v>
      </c>
      <c r="D491" s="1">
        <v>42095</v>
      </c>
      <c r="E491">
        <v>16.75</v>
      </c>
      <c r="F491">
        <v>16.75</v>
      </c>
      <c r="G491" t="s">
        <v>9</v>
      </c>
      <c r="H491" t="s">
        <v>19</v>
      </c>
      <c r="I491" t="s">
        <v>45</v>
      </c>
    </row>
    <row r="492" spans="1:9" x14ac:dyDescent="0.35">
      <c r="A492">
        <v>491</v>
      </c>
      <c r="B492">
        <v>208</v>
      </c>
      <c r="C492">
        <v>1</v>
      </c>
      <c r="D492" s="1">
        <v>42095</v>
      </c>
      <c r="E492">
        <v>12.5</v>
      </c>
      <c r="F492">
        <v>12.5</v>
      </c>
      <c r="G492" t="s">
        <v>9</v>
      </c>
      <c r="H492" t="s">
        <v>10</v>
      </c>
      <c r="I492" t="s">
        <v>33</v>
      </c>
    </row>
    <row r="493" spans="1:9" x14ac:dyDescent="0.35">
      <c r="A493">
        <v>492</v>
      </c>
      <c r="B493">
        <v>208</v>
      </c>
      <c r="C493">
        <v>1</v>
      </c>
      <c r="D493" s="1">
        <v>42095</v>
      </c>
      <c r="E493">
        <v>16</v>
      </c>
      <c r="F493">
        <v>16</v>
      </c>
      <c r="G493" t="s">
        <v>9</v>
      </c>
      <c r="H493" t="s">
        <v>10</v>
      </c>
      <c r="I493" t="s">
        <v>24</v>
      </c>
    </row>
    <row r="494" spans="1:9" x14ac:dyDescent="0.35">
      <c r="A494">
        <v>493</v>
      </c>
      <c r="B494">
        <v>209</v>
      </c>
      <c r="C494">
        <v>1</v>
      </c>
      <c r="D494" s="1">
        <v>42095</v>
      </c>
      <c r="E494">
        <v>20.75</v>
      </c>
      <c r="F494">
        <v>20.75</v>
      </c>
      <c r="G494" t="s">
        <v>13</v>
      </c>
      <c r="H494" t="s">
        <v>19</v>
      </c>
      <c r="I494" t="s">
        <v>32</v>
      </c>
    </row>
    <row r="495" spans="1:9" x14ac:dyDescent="0.35">
      <c r="A495">
        <v>494</v>
      </c>
      <c r="B495">
        <v>210</v>
      </c>
      <c r="C495">
        <v>1</v>
      </c>
      <c r="D495" s="1">
        <v>42095</v>
      </c>
      <c r="E495">
        <v>12</v>
      </c>
      <c r="F495">
        <v>12</v>
      </c>
      <c r="G495" t="s">
        <v>22</v>
      </c>
      <c r="H495" t="s">
        <v>14</v>
      </c>
      <c r="I495" t="s">
        <v>43</v>
      </c>
    </row>
    <row r="496" spans="1:9" x14ac:dyDescent="0.35">
      <c r="A496">
        <v>495</v>
      </c>
      <c r="B496">
        <v>211</v>
      </c>
      <c r="C496">
        <v>1</v>
      </c>
      <c r="D496" s="1">
        <v>42095</v>
      </c>
      <c r="E496">
        <v>9.75</v>
      </c>
      <c r="F496">
        <v>9.75</v>
      </c>
      <c r="G496" t="s">
        <v>22</v>
      </c>
      <c r="H496" t="s">
        <v>10</v>
      </c>
      <c r="I496" t="s">
        <v>33</v>
      </c>
    </row>
    <row r="497" spans="1:9" x14ac:dyDescent="0.35">
      <c r="A497">
        <v>496</v>
      </c>
      <c r="B497">
        <v>212</v>
      </c>
      <c r="C497">
        <v>1</v>
      </c>
      <c r="D497" s="1">
        <v>42095</v>
      </c>
      <c r="E497">
        <v>20.5</v>
      </c>
      <c r="F497">
        <v>20.5</v>
      </c>
      <c r="G497" t="s">
        <v>13</v>
      </c>
      <c r="H497" t="s">
        <v>10</v>
      </c>
      <c r="I497" t="s">
        <v>27</v>
      </c>
    </row>
    <row r="498" spans="1:9" x14ac:dyDescent="0.35">
      <c r="A498">
        <v>497</v>
      </c>
      <c r="B498">
        <v>213</v>
      </c>
      <c r="C498">
        <v>1</v>
      </c>
      <c r="D498" s="1">
        <v>42095</v>
      </c>
      <c r="E498">
        <v>17.95</v>
      </c>
      <c r="F498">
        <v>17.95</v>
      </c>
      <c r="G498" t="s">
        <v>13</v>
      </c>
      <c r="H498" t="s">
        <v>14</v>
      </c>
      <c r="I498" t="s">
        <v>37</v>
      </c>
    </row>
    <row r="499" spans="1:9" x14ac:dyDescent="0.35">
      <c r="A499">
        <v>498</v>
      </c>
      <c r="B499">
        <v>214</v>
      </c>
      <c r="C499">
        <v>1</v>
      </c>
      <c r="D499" s="1">
        <v>42095</v>
      </c>
      <c r="E499">
        <v>20.5</v>
      </c>
      <c r="F499">
        <v>20.5</v>
      </c>
      <c r="G499" t="s">
        <v>13</v>
      </c>
      <c r="H499" t="s">
        <v>10</v>
      </c>
      <c r="I499" t="s">
        <v>27</v>
      </c>
    </row>
    <row r="500" spans="1:9" x14ac:dyDescent="0.35">
      <c r="A500">
        <v>499</v>
      </c>
      <c r="B500">
        <v>214</v>
      </c>
      <c r="C500">
        <v>1</v>
      </c>
      <c r="D500" s="1">
        <v>42095</v>
      </c>
      <c r="E500">
        <v>16.5</v>
      </c>
      <c r="F500">
        <v>16.5</v>
      </c>
      <c r="G500" t="s">
        <v>9</v>
      </c>
      <c r="H500" t="s">
        <v>16</v>
      </c>
      <c r="I500" t="s">
        <v>17</v>
      </c>
    </row>
    <row r="501" spans="1:9" x14ac:dyDescent="0.35">
      <c r="A501">
        <v>500</v>
      </c>
      <c r="B501">
        <v>214</v>
      </c>
      <c r="C501">
        <v>1</v>
      </c>
      <c r="D501" s="1">
        <v>42095</v>
      </c>
      <c r="E501">
        <v>12</v>
      </c>
      <c r="F501">
        <v>12</v>
      </c>
      <c r="G501" t="s">
        <v>22</v>
      </c>
      <c r="H501" t="s">
        <v>14</v>
      </c>
      <c r="I501" t="s">
        <v>18</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B6A92-25E6-4DB6-97EF-25F6D8A9D82F}">
  <dimension ref="A1:I501"/>
  <sheetViews>
    <sheetView workbookViewId="0">
      <selection activeCell="Q19" sqref="Q19"/>
    </sheetView>
  </sheetViews>
  <sheetFormatPr defaultRowHeight="14.5" x14ac:dyDescent="0.35"/>
  <cols>
    <col min="1" max="1" width="9.54296875" customWidth="1"/>
    <col min="2" max="2" width="10" customWidth="1"/>
    <col min="3" max="3" width="9.90625" customWidth="1"/>
    <col min="4" max="4" width="12.26953125" customWidth="1"/>
    <col min="5" max="5" width="9.453125" customWidth="1"/>
    <col min="6" max="6" width="9.36328125" customWidth="1"/>
    <col min="7" max="7" width="11.08984375" customWidth="1"/>
    <col min="8" max="8" width="15.1796875" customWidth="1"/>
    <col min="9" max="9" width="38.453125" customWidth="1"/>
  </cols>
  <sheetData>
    <row r="1" spans="1:9" x14ac:dyDescent="0.35">
      <c r="A1" t="s">
        <v>0</v>
      </c>
      <c r="B1" t="s">
        <v>1</v>
      </c>
      <c r="C1" t="s">
        <v>2</v>
      </c>
      <c r="D1" s="1" t="s">
        <v>3</v>
      </c>
      <c r="E1" t="s">
        <v>4</v>
      </c>
      <c r="F1" t="s">
        <v>5</v>
      </c>
      <c r="G1" t="s">
        <v>6</v>
      </c>
      <c r="H1" t="s">
        <v>7</v>
      </c>
      <c r="I1" t="s">
        <v>8</v>
      </c>
    </row>
    <row r="2" spans="1:9" x14ac:dyDescent="0.35">
      <c r="A2">
        <v>26</v>
      </c>
      <c r="B2">
        <v>11</v>
      </c>
      <c r="C2">
        <v>1</v>
      </c>
      <c r="D2" s="1">
        <v>42005</v>
      </c>
      <c r="E2">
        <v>20.75</v>
      </c>
      <c r="F2">
        <v>20.75</v>
      </c>
      <c r="G2" t="s">
        <v>13</v>
      </c>
      <c r="H2" t="s">
        <v>19</v>
      </c>
      <c r="I2" t="s">
        <v>23</v>
      </c>
    </row>
    <row r="3" spans="1:9" x14ac:dyDescent="0.35">
      <c r="A3">
        <v>43</v>
      </c>
      <c r="B3">
        <v>17</v>
      </c>
      <c r="C3">
        <v>1</v>
      </c>
      <c r="D3" s="1">
        <v>42005</v>
      </c>
      <c r="E3">
        <v>20.75</v>
      </c>
      <c r="F3">
        <v>20.75</v>
      </c>
      <c r="G3" t="s">
        <v>13</v>
      </c>
      <c r="H3" t="s">
        <v>19</v>
      </c>
      <c r="I3" t="s">
        <v>23</v>
      </c>
    </row>
    <row r="4" spans="1:9" x14ac:dyDescent="0.35">
      <c r="A4">
        <v>71</v>
      </c>
      <c r="B4">
        <v>27</v>
      </c>
      <c r="C4">
        <v>1</v>
      </c>
      <c r="D4" s="1">
        <v>42005</v>
      </c>
      <c r="E4">
        <v>20.75</v>
      </c>
      <c r="F4">
        <v>20.75</v>
      </c>
      <c r="G4" t="s">
        <v>13</v>
      </c>
      <c r="H4" t="s">
        <v>19</v>
      </c>
      <c r="I4" t="s">
        <v>23</v>
      </c>
    </row>
    <row r="5" spans="1:9" x14ac:dyDescent="0.35">
      <c r="A5">
        <v>83</v>
      </c>
      <c r="B5">
        <v>33</v>
      </c>
      <c r="C5">
        <v>1</v>
      </c>
      <c r="D5" s="1">
        <v>42005</v>
      </c>
      <c r="E5">
        <v>20.75</v>
      </c>
      <c r="F5">
        <v>20.75</v>
      </c>
      <c r="G5" t="s">
        <v>13</v>
      </c>
      <c r="H5" t="s">
        <v>19</v>
      </c>
      <c r="I5" t="s">
        <v>23</v>
      </c>
    </row>
    <row r="6" spans="1:9" x14ac:dyDescent="0.35">
      <c r="A6">
        <v>123</v>
      </c>
      <c r="B6">
        <v>51</v>
      </c>
      <c r="C6">
        <v>1</v>
      </c>
      <c r="D6" s="1">
        <v>42005</v>
      </c>
      <c r="E6">
        <v>20.75</v>
      </c>
      <c r="F6">
        <v>20.75</v>
      </c>
      <c r="G6" t="s">
        <v>13</v>
      </c>
      <c r="H6" t="s">
        <v>19</v>
      </c>
      <c r="I6" t="s">
        <v>23</v>
      </c>
    </row>
    <row r="7" spans="1:9" x14ac:dyDescent="0.35">
      <c r="A7">
        <v>161</v>
      </c>
      <c r="B7">
        <v>69</v>
      </c>
      <c r="C7">
        <v>1</v>
      </c>
      <c r="D7" s="1">
        <v>42005</v>
      </c>
      <c r="E7">
        <v>20.75</v>
      </c>
      <c r="F7">
        <v>20.75</v>
      </c>
      <c r="G7" t="s">
        <v>13</v>
      </c>
      <c r="H7" t="s">
        <v>19</v>
      </c>
      <c r="I7" t="s">
        <v>23</v>
      </c>
    </row>
    <row r="8" spans="1:9" x14ac:dyDescent="0.35">
      <c r="A8">
        <v>63</v>
      </c>
      <c r="B8">
        <v>24</v>
      </c>
      <c r="C8">
        <v>1</v>
      </c>
      <c r="D8" s="1">
        <v>42005</v>
      </c>
      <c r="E8">
        <v>16.75</v>
      </c>
      <c r="F8">
        <v>16.75</v>
      </c>
      <c r="G8" t="s">
        <v>9</v>
      </c>
      <c r="H8" t="s">
        <v>19</v>
      </c>
      <c r="I8" t="s">
        <v>23</v>
      </c>
    </row>
    <row r="9" spans="1:9" x14ac:dyDescent="0.35">
      <c r="A9">
        <v>90</v>
      </c>
      <c r="B9">
        <v>36</v>
      </c>
      <c r="C9">
        <v>1</v>
      </c>
      <c r="D9" s="1">
        <v>42005</v>
      </c>
      <c r="E9">
        <v>16.75</v>
      </c>
      <c r="F9">
        <v>16.75</v>
      </c>
      <c r="G9" t="s">
        <v>9</v>
      </c>
      <c r="H9" t="s">
        <v>19</v>
      </c>
      <c r="I9" t="s">
        <v>23</v>
      </c>
    </row>
    <row r="10" spans="1:9" x14ac:dyDescent="0.35">
      <c r="A10">
        <v>145</v>
      </c>
      <c r="B10">
        <v>61</v>
      </c>
      <c r="C10">
        <v>1</v>
      </c>
      <c r="D10" s="1">
        <v>42005</v>
      </c>
      <c r="E10">
        <v>16.75</v>
      </c>
      <c r="F10">
        <v>16.75</v>
      </c>
      <c r="G10" t="s">
        <v>9</v>
      </c>
      <c r="H10" t="s">
        <v>19</v>
      </c>
      <c r="I10" t="s">
        <v>23</v>
      </c>
    </row>
    <row r="11" spans="1:9" x14ac:dyDescent="0.35">
      <c r="A11">
        <v>147</v>
      </c>
      <c r="B11">
        <v>62</v>
      </c>
      <c r="C11">
        <v>1</v>
      </c>
      <c r="D11" s="1">
        <v>42005</v>
      </c>
      <c r="E11">
        <v>16.75</v>
      </c>
      <c r="F11">
        <v>16.75</v>
      </c>
      <c r="G11" t="s">
        <v>9</v>
      </c>
      <c r="H11" t="s">
        <v>19</v>
      </c>
      <c r="I11" t="s">
        <v>23</v>
      </c>
    </row>
    <row r="12" spans="1:9" x14ac:dyDescent="0.35">
      <c r="A12">
        <v>11</v>
      </c>
      <c r="B12">
        <v>6</v>
      </c>
      <c r="C12">
        <v>1</v>
      </c>
      <c r="D12" s="1">
        <v>42005</v>
      </c>
      <c r="E12">
        <v>12.75</v>
      </c>
      <c r="F12">
        <v>12.75</v>
      </c>
      <c r="G12" t="s">
        <v>22</v>
      </c>
      <c r="H12" t="s">
        <v>19</v>
      </c>
      <c r="I12" t="s">
        <v>23</v>
      </c>
    </row>
    <row r="13" spans="1:9" x14ac:dyDescent="0.35">
      <c r="A13">
        <v>36</v>
      </c>
      <c r="B13">
        <v>15</v>
      </c>
      <c r="C13">
        <v>1</v>
      </c>
      <c r="D13" s="1">
        <v>42005</v>
      </c>
      <c r="E13">
        <v>12</v>
      </c>
      <c r="F13">
        <v>12</v>
      </c>
      <c r="G13" t="s">
        <v>22</v>
      </c>
      <c r="H13" t="s">
        <v>10</v>
      </c>
      <c r="I13" t="s">
        <v>35</v>
      </c>
    </row>
    <row r="14" spans="1:9" x14ac:dyDescent="0.35">
      <c r="A14">
        <v>56</v>
      </c>
      <c r="B14">
        <v>20</v>
      </c>
      <c r="C14">
        <v>1</v>
      </c>
      <c r="D14" s="1">
        <v>42005</v>
      </c>
      <c r="E14">
        <v>12</v>
      </c>
      <c r="F14">
        <v>12</v>
      </c>
      <c r="G14" t="s">
        <v>22</v>
      </c>
      <c r="H14" t="s">
        <v>10</v>
      </c>
      <c r="I14" t="s">
        <v>35</v>
      </c>
    </row>
    <row r="15" spans="1:9" x14ac:dyDescent="0.35">
      <c r="A15">
        <v>79</v>
      </c>
      <c r="B15">
        <v>32</v>
      </c>
      <c r="C15">
        <v>1</v>
      </c>
      <c r="D15" s="1">
        <v>42005</v>
      </c>
      <c r="E15">
        <v>12</v>
      </c>
      <c r="F15">
        <v>12</v>
      </c>
      <c r="G15" t="s">
        <v>22</v>
      </c>
      <c r="H15" t="s">
        <v>10</v>
      </c>
      <c r="I15" t="s">
        <v>35</v>
      </c>
    </row>
    <row r="16" spans="1:9" x14ac:dyDescent="0.35">
      <c r="A16">
        <v>101</v>
      </c>
      <c r="B16">
        <v>42</v>
      </c>
      <c r="C16">
        <v>1</v>
      </c>
      <c r="D16" s="1">
        <v>42005</v>
      </c>
      <c r="E16">
        <v>12</v>
      </c>
      <c r="F16">
        <v>12</v>
      </c>
      <c r="G16" t="s">
        <v>22</v>
      </c>
      <c r="H16" t="s">
        <v>10</v>
      </c>
      <c r="I16" t="s">
        <v>35</v>
      </c>
    </row>
    <row r="17" spans="1:9" x14ac:dyDescent="0.35">
      <c r="A17">
        <v>150</v>
      </c>
      <c r="B17">
        <v>64</v>
      </c>
      <c r="C17">
        <v>1</v>
      </c>
      <c r="D17" s="1">
        <v>42005</v>
      </c>
      <c r="E17">
        <v>12</v>
      </c>
      <c r="F17">
        <v>12</v>
      </c>
      <c r="G17" t="s">
        <v>22</v>
      </c>
      <c r="H17" t="s">
        <v>10</v>
      </c>
      <c r="I17" t="s">
        <v>35</v>
      </c>
    </row>
    <row r="18" spans="1:9" x14ac:dyDescent="0.35">
      <c r="A18">
        <v>44</v>
      </c>
      <c r="B18">
        <v>17</v>
      </c>
      <c r="C18">
        <v>1</v>
      </c>
      <c r="D18" s="1">
        <v>42005</v>
      </c>
      <c r="E18">
        <v>16.25</v>
      </c>
      <c r="F18">
        <v>16.25</v>
      </c>
      <c r="G18" t="s">
        <v>9</v>
      </c>
      <c r="H18" t="s">
        <v>16</v>
      </c>
      <c r="I18" t="s">
        <v>39</v>
      </c>
    </row>
    <row r="19" spans="1:9" x14ac:dyDescent="0.35">
      <c r="A19">
        <v>27</v>
      </c>
      <c r="B19">
        <v>11</v>
      </c>
      <c r="C19">
        <v>1</v>
      </c>
      <c r="D19" s="1">
        <v>42005</v>
      </c>
      <c r="E19">
        <v>20.75</v>
      </c>
      <c r="F19">
        <v>20.75</v>
      </c>
      <c r="G19" t="s">
        <v>13</v>
      </c>
      <c r="H19" t="s">
        <v>19</v>
      </c>
      <c r="I19" t="s">
        <v>32</v>
      </c>
    </row>
    <row r="20" spans="1:9" x14ac:dyDescent="0.35">
      <c r="A20">
        <v>30</v>
      </c>
      <c r="B20">
        <v>12</v>
      </c>
      <c r="C20">
        <v>1</v>
      </c>
      <c r="D20" s="1">
        <v>42005</v>
      </c>
      <c r="E20">
        <v>20.75</v>
      </c>
      <c r="F20">
        <v>20.75</v>
      </c>
      <c r="G20" t="s">
        <v>13</v>
      </c>
      <c r="H20" t="s">
        <v>19</v>
      </c>
      <c r="I20" t="s">
        <v>32</v>
      </c>
    </row>
    <row r="21" spans="1:9" x14ac:dyDescent="0.35">
      <c r="A21">
        <v>28</v>
      </c>
      <c r="B21">
        <v>11</v>
      </c>
      <c r="C21">
        <v>1</v>
      </c>
      <c r="D21" s="1">
        <v>42005</v>
      </c>
      <c r="E21">
        <v>16.75</v>
      </c>
      <c r="F21">
        <v>16.75</v>
      </c>
      <c r="G21" t="s">
        <v>9</v>
      </c>
      <c r="H21" t="s">
        <v>19</v>
      </c>
      <c r="I21" t="s">
        <v>32</v>
      </c>
    </row>
    <row r="22" spans="1:9" x14ac:dyDescent="0.35">
      <c r="A22">
        <v>31</v>
      </c>
      <c r="B22">
        <v>12</v>
      </c>
      <c r="C22">
        <v>1</v>
      </c>
      <c r="D22" s="1">
        <v>42005</v>
      </c>
      <c r="E22">
        <v>12.75</v>
      </c>
      <c r="F22">
        <v>12.75</v>
      </c>
      <c r="G22" t="s">
        <v>22</v>
      </c>
      <c r="H22" t="s">
        <v>19</v>
      </c>
      <c r="I22" t="s">
        <v>32</v>
      </c>
    </row>
    <row r="23" spans="1:9" x14ac:dyDescent="0.35">
      <c r="A23">
        <v>105</v>
      </c>
      <c r="B23">
        <v>43</v>
      </c>
      <c r="C23">
        <v>1</v>
      </c>
      <c r="D23" s="1">
        <v>42005</v>
      </c>
      <c r="E23">
        <v>16.75</v>
      </c>
      <c r="F23">
        <v>16.75</v>
      </c>
      <c r="G23" t="s">
        <v>9</v>
      </c>
      <c r="H23" t="s">
        <v>19</v>
      </c>
      <c r="I23" t="s">
        <v>45</v>
      </c>
    </row>
    <row r="24" spans="1:9" x14ac:dyDescent="0.35">
      <c r="A24">
        <v>74</v>
      </c>
      <c r="B24">
        <v>28</v>
      </c>
      <c r="C24">
        <v>1</v>
      </c>
      <c r="D24" s="1">
        <v>42005</v>
      </c>
      <c r="E24">
        <v>12.75</v>
      </c>
      <c r="F24">
        <v>12.75</v>
      </c>
      <c r="G24" t="s">
        <v>22</v>
      </c>
      <c r="H24" t="s">
        <v>19</v>
      </c>
      <c r="I24" t="s">
        <v>45</v>
      </c>
    </row>
    <row r="25" spans="1:9" x14ac:dyDescent="0.35">
      <c r="A25">
        <v>32</v>
      </c>
      <c r="B25">
        <v>12</v>
      </c>
      <c r="C25">
        <v>1</v>
      </c>
      <c r="D25" s="1">
        <v>42005</v>
      </c>
      <c r="E25">
        <v>20.75</v>
      </c>
      <c r="F25">
        <v>20.75</v>
      </c>
      <c r="G25" t="s">
        <v>13</v>
      </c>
      <c r="H25" t="s">
        <v>19</v>
      </c>
      <c r="I25" t="s">
        <v>34</v>
      </c>
    </row>
    <row r="26" spans="1:9" x14ac:dyDescent="0.35">
      <c r="A26">
        <v>112</v>
      </c>
      <c r="B26">
        <v>46</v>
      </c>
      <c r="C26">
        <v>1</v>
      </c>
      <c r="D26" s="1">
        <v>42005</v>
      </c>
      <c r="E26">
        <v>20.75</v>
      </c>
      <c r="F26">
        <v>20.75</v>
      </c>
      <c r="G26" t="s">
        <v>13</v>
      </c>
      <c r="H26" t="s">
        <v>19</v>
      </c>
      <c r="I26" t="s">
        <v>34</v>
      </c>
    </row>
    <row r="27" spans="1:9" x14ac:dyDescent="0.35">
      <c r="A27">
        <v>143</v>
      </c>
      <c r="B27">
        <v>60</v>
      </c>
      <c r="C27">
        <v>1</v>
      </c>
      <c r="D27" s="1">
        <v>42005</v>
      </c>
      <c r="E27">
        <v>20.75</v>
      </c>
      <c r="F27">
        <v>20.75</v>
      </c>
      <c r="G27" t="s">
        <v>13</v>
      </c>
      <c r="H27" t="s">
        <v>19</v>
      </c>
      <c r="I27" t="s">
        <v>34</v>
      </c>
    </row>
    <row r="28" spans="1:9" x14ac:dyDescent="0.35">
      <c r="A28">
        <v>117</v>
      </c>
      <c r="B28">
        <v>48</v>
      </c>
      <c r="C28">
        <v>1</v>
      </c>
      <c r="D28" s="1">
        <v>42005</v>
      </c>
      <c r="E28">
        <v>16.75</v>
      </c>
      <c r="F28">
        <v>16.75</v>
      </c>
      <c r="G28" t="s">
        <v>9</v>
      </c>
      <c r="H28" t="s">
        <v>19</v>
      </c>
      <c r="I28" t="s">
        <v>34</v>
      </c>
    </row>
    <row r="29" spans="1:9" x14ac:dyDescent="0.35">
      <c r="A29">
        <v>113</v>
      </c>
      <c r="B29">
        <v>46</v>
      </c>
      <c r="C29">
        <v>1</v>
      </c>
      <c r="D29" s="1">
        <v>42005</v>
      </c>
      <c r="E29">
        <v>20.5</v>
      </c>
      <c r="F29">
        <v>20.5</v>
      </c>
      <c r="G29" t="s">
        <v>13</v>
      </c>
      <c r="H29" t="s">
        <v>10</v>
      </c>
      <c r="I29" t="s">
        <v>12</v>
      </c>
    </row>
    <row r="30" spans="1:9" x14ac:dyDescent="0.35">
      <c r="A30">
        <v>2</v>
      </c>
      <c r="B30">
        <v>2</v>
      </c>
      <c r="C30">
        <v>1</v>
      </c>
      <c r="D30" s="1">
        <v>42005</v>
      </c>
      <c r="E30">
        <v>16</v>
      </c>
      <c r="F30">
        <v>16</v>
      </c>
      <c r="G30" t="s">
        <v>9</v>
      </c>
      <c r="H30" t="s">
        <v>10</v>
      </c>
      <c r="I30" t="s">
        <v>12</v>
      </c>
    </row>
    <row r="31" spans="1:9" x14ac:dyDescent="0.35">
      <c r="A31">
        <v>72</v>
      </c>
      <c r="B31">
        <v>27</v>
      </c>
      <c r="C31">
        <v>1</v>
      </c>
      <c r="D31" s="1">
        <v>42005</v>
      </c>
      <c r="E31">
        <v>16</v>
      </c>
      <c r="F31">
        <v>16</v>
      </c>
      <c r="G31" t="s">
        <v>9</v>
      </c>
      <c r="H31" t="s">
        <v>10</v>
      </c>
      <c r="I31" t="s">
        <v>12</v>
      </c>
    </row>
    <row r="32" spans="1:9" x14ac:dyDescent="0.35">
      <c r="A32">
        <v>91</v>
      </c>
      <c r="B32">
        <v>36</v>
      </c>
      <c r="C32">
        <v>1</v>
      </c>
      <c r="D32" s="1">
        <v>42005</v>
      </c>
      <c r="E32">
        <v>16</v>
      </c>
      <c r="F32">
        <v>16</v>
      </c>
      <c r="G32" t="s">
        <v>9</v>
      </c>
      <c r="H32" t="s">
        <v>10</v>
      </c>
      <c r="I32" t="s">
        <v>12</v>
      </c>
    </row>
    <row r="33" spans="1:9" x14ac:dyDescent="0.35">
      <c r="A33">
        <v>134</v>
      </c>
      <c r="B33">
        <v>56</v>
      </c>
      <c r="C33">
        <v>1</v>
      </c>
      <c r="D33" s="1">
        <v>42005</v>
      </c>
      <c r="E33">
        <v>16</v>
      </c>
      <c r="F33">
        <v>16</v>
      </c>
      <c r="G33" t="s">
        <v>9</v>
      </c>
      <c r="H33" t="s">
        <v>10</v>
      </c>
      <c r="I33" t="s">
        <v>12</v>
      </c>
    </row>
    <row r="34" spans="1:9" x14ac:dyDescent="0.35">
      <c r="A34">
        <v>137</v>
      </c>
      <c r="B34">
        <v>57</v>
      </c>
      <c r="C34">
        <v>1</v>
      </c>
      <c r="D34" s="1">
        <v>42005</v>
      </c>
      <c r="E34">
        <v>16</v>
      </c>
      <c r="F34">
        <v>16</v>
      </c>
      <c r="G34" t="s">
        <v>9</v>
      </c>
      <c r="H34" t="s">
        <v>10</v>
      </c>
      <c r="I34" t="s">
        <v>12</v>
      </c>
    </row>
    <row r="35" spans="1:9" x14ac:dyDescent="0.35">
      <c r="A35">
        <v>155</v>
      </c>
      <c r="B35">
        <v>66</v>
      </c>
      <c r="C35">
        <v>1</v>
      </c>
      <c r="D35" s="1">
        <v>42005</v>
      </c>
      <c r="E35">
        <v>16</v>
      </c>
      <c r="F35">
        <v>16</v>
      </c>
      <c r="G35" t="s">
        <v>9</v>
      </c>
      <c r="H35" t="s">
        <v>10</v>
      </c>
      <c r="I35" t="s">
        <v>12</v>
      </c>
    </row>
    <row r="36" spans="1:9" x14ac:dyDescent="0.35">
      <c r="A36">
        <v>158</v>
      </c>
      <c r="B36">
        <v>68</v>
      </c>
      <c r="C36">
        <v>1</v>
      </c>
      <c r="D36" s="1">
        <v>42005</v>
      </c>
      <c r="E36">
        <v>16</v>
      </c>
      <c r="F36">
        <v>16</v>
      </c>
      <c r="G36" t="s">
        <v>9</v>
      </c>
      <c r="H36" t="s">
        <v>10</v>
      </c>
      <c r="I36" t="s">
        <v>12</v>
      </c>
    </row>
    <row r="37" spans="1:9" x14ac:dyDescent="0.35">
      <c r="A37">
        <v>15</v>
      </c>
      <c r="B37">
        <v>9</v>
      </c>
      <c r="C37">
        <v>1</v>
      </c>
      <c r="D37" s="1">
        <v>42005</v>
      </c>
      <c r="E37">
        <v>12</v>
      </c>
      <c r="F37">
        <v>12</v>
      </c>
      <c r="G37" t="s">
        <v>22</v>
      </c>
      <c r="H37" t="s">
        <v>10</v>
      </c>
      <c r="I37" t="s">
        <v>12</v>
      </c>
    </row>
    <row r="38" spans="1:9" x14ac:dyDescent="0.35">
      <c r="A38">
        <v>69</v>
      </c>
      <c r="B38">
        <v>26</v>
      </c>
      <c r="C38">
        <v>1</v>
      </c>
      <c r="D38" s="1">
        <v>42005</v>
      </c>
      <c r="E38">
        <v>12</v>
      </c>
      <c r="F38">
        <v>12</v>
      </c>
      <c r="G38" t="s">
        <v>22</v>
      </c>
      <c r="H38" t="s">
        <v>10</v>
      </c>
      <c r="I38" t="s">
        <v>12</v>
      </c>
    </row>
    <row r="39" spans="1:9" x14ac:dyDescent="0.35">
      <c r="A39">
        <v>3</v>
      </c>
      <c r="B39">
        <v>2</v>
      </c>
      <c r="C39">
        <v>1</v>
      </c>
      <c r="D39" s="1">
        <v>42005</v>
      </c>
      <c r="E39">
        <v>18.5</v>
      </c>
      <c r="F39">
        <v>18.5</v>
      </c>
      <c r="G39" t="s">
        <v>13</v>
      </c>
      <c r="H39" t="s">
        <v>14</v>
      </c>
      <c r="I39" t="s">
        <v>15</v>
      </c>
    </row>
    <row r="40" spans="1:9" x14ac:dyDescent="0.35">
      <c r="A40">
        <v>37</v>
      </c>
      <c r="B40">
        <v>15</v>
      </c>
      <c r="C40">
        <v>1</v>
      </c>
      <c r="D40" s="1">
        <v>42005</v>
      </c>
      <c r="E40">
        <v>18.5</v>
      </c>
      <c r="F40">
        <v>18.5</v>
      </c>
      <c r="G40" t="s">
        <v>13</v>
      </c>
      <c r="H40" t="s">
        <v>14</v>
      </c>
      <c r="I40" t="s">
        <v>15</v>
      </c>
    </row>
    <row r="41" spans="1:9" x14ac:dyDescent="0.35">
      <c r="A41">
        <v>45</v>
      </c>
      <c r="B41">
        <v>17</v>
      </c>
      <c r="C41">
        <v>1</v>
      </c>
      <c r="D41" s="1">
        <v>42005</v>
      </c>
      <c r="E41">
        <v>18.5</v>
      </c>
      <c r="F41">
        <v>18.5</v>
      </c>
      <c r="G41" t="s">
        <v>13</v>
      </c>
      <c r="H41" t="s">
        <v>14</v>
      </c>
      <c r="I41" t="s">
        <v>15</v>
      </c>
    </row>
    <row r="42" spans="1:9" x14ac:dyDescent="0.35">
      <c r="A42">
        <v>57</v>
      </c>
      <c r="B42">
        <v>20</v>
      </c>
      <c r="C42">
        <v>1</v>
      </c>
      <c r="D42" s="1">
        <v>42005</v>
      </c>
      <c r="E42">
        <v>18.5</v>
      </c>
      <c r="F42">
        <v>18.5</v>
      </c>
      <c r="G42" t="s">
        <v>13</v>
      </c>
      <c r="H42" t="s">
        <v>14</v>
      </c>
      <c r="I42" t="s">
        <v>15</v>
      </c>
    </row>
    <row r="43" spans="1:9" x14ac:dyDescent="0.35">
      <c r="A43">
        <v>59</v>
      </c>
      <c r="B43">
        <v>22</v>
      </c>
      <c r="C43">
        <v>1</v>
      </c>
      <c r="D43" s="1">
        <v>42005</v>
      </c>
      <c r="E43">
        <v>18.5</v>
      </c>
      <c r="F43">
        <v>18.5</v>
      </c>
      <c r="G43" t="s">
        <v>13</v>
      </c>
      <c r="H43" t="s">
        <v>14</v>
      </c>
      <c r="I43" t="s">
        <v>15</v>
      </c>
    </row>
    <row r="44" spans="1:9" x14ac:dyDescent="0.35">
      <c r="A44">
        <v>102</v>
      </c>
      <c r="B44">
        <v>42</v>
      </c>
      <c r="C44">
        <v>1</v>
      </c>
      <c r="D44" s="1">
        <v>42005</v>
      </c>
      <c r="E44">
        <v>18.5</v>
      </c>
      <c r="F44">
        <v>18.5</v>
      </c>
      <c r="G44" t="s">
        <v>13</v>
      </c>
      <c r="H44" t="s">
        <v>14</v>
      </c>
      <c r="I44" t="s">
        <v>15</v>
      </c>
    </row>
    <row r="45" spans="1:9" x14ac:dyDescent="0.35">
      <c r="A45">
        <v>138</v>
      </c>
      <c r="B45">
        <v>58</v>
      </c>
      <c r="C45">
        <v>1</v>
      </c>
      <c r="D45" s="1">
        <v>42005</v>
      </c>
      <c r="E45">
        <v>18.5</v>
      </c>
      <c r="F45">
        <v>18.5</v>
      </c>
      <c r="G45" t="s">
        <v>13</v>
      </c>
      <c r="H45" t="s">
        <v>14</v>
      </c>
      <c r="I45" t="s">
        <v>15</v>
      </c>
    </row>
    <row r="46" spans="1:9" x14ac:dyDescent="0.35">
      <c r="A46">
        <v>40</v>
      </c>
      <c r="B46">
        <v>16</v>
      </c>
      <c r="C46">
        <v>1</v>
      </c>
      <c r="D46" s="1">
        <v>42005</v>
      </c>
      <c r="E46">
        <v>17.95</v>
      </c>
      <c r="F46">
        <v>17.95</v>
      </c>
      <c r="G46" t="s">
        <v>13</v>
      </c>
      <c r="H46" t="s">
        <v>14</v>
      </c>
      <c r="I46" t="s">
        <v>37</v>
      </c>
    </row>
    <row r="47" spans="1:9" x14ac:dyDescent="0.35">
      <c r="A47">
        <v>97</v>
      </c>
      <c r="B47">
        <v>40</v>
      </c>
      <c r="C47">
        <v>1</v>
      </c>
      <c r="D47" s="1">
        <v>42005</v>
      </c>
      <c r="E47">
        <v>17.95</v>
      </c>
      <c r="F47">
        <v>17.95</v>
      </c>
      <c r="G47" t="s">
        <v>13</v>
      </c>
      <c r="H47" t="s">
        <v>14</v>
      </c>
      <c r="I47" t="s">
        <v>37</v>
      </c>
    </row>
    <row r="48" spans="1:9" x14ac:dyDescent="0.35">
      <c r="A48">
        <v>109</v>
      </c>
      <c r="B48">
        <v>45</v>
      </c>
      <c r="C48">
        <v>1</v>
      </c>
      <c r="D48" s="1">
        <v>42005</v>
      </c>
      <c r="E48">
        <v>17.95</v>
      </c>
      <c r="F48">
        <v>17.95</v>
      </c>
      <c r="G48" t="s">
        <v>13</v>
      </c>
      <c r="H48" t="s">
        <v>14</v>
      </c>
      <c r="I48" t="s">
        <v>37</v>
      </c>
    </row>
    <row r="49" spans="1:9" x14ac:dyDescent="0.35">
      <c r="A49">
        <v>46</v>
      </c>
      <c r="B49">
        <v>17</v>
      </c>
      <c r="C49">
        <v>1</v>
      </c>
      <c r="D49" s="1">
        <v>42005</v>
      </c>
      <c r="E49">
        <v>14.75</v>
      </c>
      <c r="F49">
        <v>14.75</v>
      </c>
      <c r="G49" t="s">
        <v>9</v>
      </c>
      <c r="H49" t="s">
        <v>14</v>
      </c>
      <c r="I49" t="s">
        <v>37</v>
      </c>
    </row>
    <row r="50" spans="1:9" x14ac:dyDescent="0.35">
      <c r="A50">
        <v>99</v>
      </c>
      <c r="B50">
        <v>41</v>
      </c>
      <c r="C50">
        <v>1</v>
      </c>
      <c r="D50" s="1">
        <v>42005</v>
      </c>
      <c r="E50">
        <v>14.75</v>
      </c>
      <c r="F50">
        <v>14.75</v>
      </c>
      <c r="G50" t="s">
        <v>9</v>
      </c>
      <c r="H50" t="s">
        <v>14</v>
      </c>
      <c r="I50" t="s">
        <v>37</v>
      </c>
    </row>
    <row r="51" spans="1:9" x14ac:dyDescent="0.35">
      <c r="A51">
        <v>144</v>
      </c>
      <c r="B51">
        <v>60</v>
      </c>
      <c r="C51">
        <v>1</v>
      </c>
      <c r="D51" s="1">
        <v>42005</v>
      </c>
      <c r="E51">
        <v>14.75</v>
      </c>
      <c r="F51">
        <v>14.75</v>
      </c>
      <c r="G51" t="s">
        <v>9</v>
      </c>
      <c r="H51" t="s">
        <v>14</v>
      </c>
      <c r="I51" t="s">
        <v>37</v>
      </c>
    </row>
    <row r="52" spans="1:9" x14ac:dyDescent="0.35">
      <c r="A52">
        <v>12</v>
      </c>
      <c r="B52">
        <v>6</v>
      </c>
      <c r="C52">
        <v>1</v>
      </c>
      <c r="D52" s="1">
        <v>42005</v>
      </c>
      <c r="E52">
        <v>12</v>
      </c>
      <c r="F52">
        <v>12</v>
      </c>
      <c r="G52" t="s">
        <v>22</v>
      </c>
      <c r="H52" t="s">
        <v>10</v>
      </c>
      <c r="I52" t="s">
        <v>24</v>
      </c>
    </row>
    <row r="53" spans="1:9" x14ac:dyDescent="0.35">
      <c r="A53">
        <v>35</v>
      </c>
      <c r="B53">
        <v>14</v>
      </c>
      <c r="C53">
        <v>1</v>
      </c>
      <c r="D53" s="1">
        <v>42005</v>
      </c>
      <c r="E53">
        <v>12</v>
      </c>
      <c r="F53">
        <v>12</v>
      </c>
      <c r="G53" t="s">
        <v>22</v>
      </c>
      <c r="H53" t="s">
        <v>10</v>
      </c>
      <c r="I53" t="s">
        <v>24</v>
      </c>
    </row>
    <row r="54" spans="1:9" x14ac:dyDescent="0.35">
      <c r="A54">
        <v>39</v>
      </c>
      <c r="B54">
        <v>15</v>
      </c>
      <c r="C54">
        <v>1</v>
      </c>
      <c r="D54" s="1">
        <v>42005</v>
      </c>
      <c r="E54">
        <v>12</v>
      </c>
      <c r="F54">
        <v>12</v>
      </c>
      <c r="G54" t="s">
        <v>22</v>
      </c>
      <c r="H54" t="s">
        <v>10</v>
      </c>
      <c r="I54" t="s">
        <v>24</v>
      </c>
    </row>
    <row r="55" spans="1:9" x14ac:dyDescent="0.35">
      <c r="A55">
        <v>85</v>
      </c>
      <c r="B55">
        <v>34</v>
      </c>
      <c r="C55">
        <v>1</v>
      </c>
      <c r="D55" s="1">
        <v>42005</v>
      </c>
      <c r="E55">
        <v>12</v>
      </c>
      <c r="F55">
        <v>12</v>
      </c>
      <c r="G55" t="s">
        <v>22</v>
      </c>
      <c r="H55" t="s">
        <v>10</v>
      </c>
      <c r="I55" t="s">
        <v>24</v>
      </c>
    </row>
    <row r="56" spans="1:9" x14ac:dyDescent="0.35">
      <c r="A56">
        <v>122</v>
      </c>
      <c r="B56">
        <v>50</v>
      </c>
      <c r="C56">
        <v>1</v>
      </c>
      <c r="D56" s="1">
        <v>42005</v>
      </c>
      <c r="E56">
        <v>25.5</v>
      </c>
      <c r="F56">
        <v>25.5</v>
      </c>
      <c r="G56" t="s">
        <v>47</v>
      </c>
      <c r="H56" t="s">
        <v>10</v>
      </c>
      <c r="I56" t="s">
        <v>24</v>
      </c>
    </row>
    <row r="57" spans="1:9" x14ac:dyDescent="0.35">
      <c r="A57">
        <v>80</v>
      </c>
      <c r="B57">
        <v>32</v>
      </c>
      <c r="C57">
        <v>1</v>
      </c>
      <c r="D57" s="1">
        <v>42005</v>
      </c>
      <c r="E57">
        <v>20.25</v>
      </c>
      <c r="F57">
        <v>20.25</v>
      </c>
      <c r="G57" t="s">
        <v>13</v>
      </c>
      <c r="H57" t="s">
        <v>14</v>
      </c>
      <c r="I57" t="s">
        <v>26</v>
      </c>
    </row>
    <row r="58" spans="1:9" x14ac:dyDescent="0.35">
      <c r="A58">
        <v>86</v>
      </c>
      <c r="B58">
        <v>35</v>
      </c>
      <c r="C58">
        <v>1</v>
      </c>
      <c r="D58" s="1">
        <v>42005</v>
      </c>
      <c r="E58">
        <v>16</v>
      </c>
      <c r="F58">
        <v>16</v>
      </c>
      <c r="G58" t="s">
        <v>9</v>
      </c>
      <c r="H58" t="s">
        <v>14</v>
      </c>
      <c r="I58" t="s">
        <v>26</v>
      </c>
    </row>
    <row r="59" spans="1:9" x14ac:dyDescent="0.35">
      <c r="A59">
        <v>16</v>
      </c>
      <c r="B59">
        <v>9</v>
      </c>
      <c r="C59">
        <v>1</v>
      </c>
      <c r="D59" s="1">
        <v>42005</v>
      </c>
      <c r="E59">
        <v>12</v>
      </c>
      <c r="F59">
        <v>12</v>
      </c>
      <c r="G59" t="s">
        <v>22</v>
      </c>
      <c r="H59" t="s">
        <v>14</v>
      </c>
      <c r="I59" t="s">
        <v>26</v>
      </c>
    </row>
    <row r="60" spans="1:9" x14ac:dyDescent="0.35">
      <c r="A60">
        <v>75</v>
      </c>
      <c r="B60">
        <v>29</v>
      </c>
      <c r="C60">
        <v>1</v>
      </c>
      <c r="D60" s="1">
        <v>42005</v>
      </c>
      <c r="E60">
        <v>12</v>
      </c>
      <c r="F60">
        <v>12</v>
      </c>
      <c r="G60" t="s">
        <v>22</v>
      </c>
      <c r="H60" t="s">
        <v>14</v>
      </c>
      <c r="I60" t="s">
        <v>26</v>
      </c>
    </row>
    <row r="61" spans="1:9" x14ac:dyDescent="0.35">
      <c r="A61">
        <v>84</v>
      </c>
      <c r="B61">
        <v>33</v>
      </c>
      <c r="C61">
        <v>1</v>
      </c>
      <c r="D61" s="1">
        <v>42005</v>
      </c>
      <c r="E61">
        <v>12</v>
      </c>
      <c r="F61">
        <v>12</v>
      </c>
      <c r="G61" t="s">
        <v>22</v>
      </c>
      <c r="H61" t="s">
        <v>14</v>
      </c>
      <c r="I61" t="s">
        <v>26</v>
      </c>
    </row>
    <row r="62" spans="1:9" x14ac:dyDescent="0.35">
      <c r="A62">
        <v>100</v>
      </c>
      <c r="B62">
        <v>41</v>
      </c>
      <c r="C62">
        <v>1</v>
      </c>
      <c r="D62" s="1">
        <v>42005</v>
      </c>
      <c r="E62">
        <v>12</v>
      </c>
      <c r="F62">
        <v>12</v>
      </c>
      <c r="G62" t="s">
        <v>22</v>
      </c>
      <c r="H62" t="s">
        <v>14</v>
      </c>
      <c r="I62" t="s">
        <v>26</v>
      </c>
    </row>
    <row r="63" spans="1:9" x14ac:dyDescent="0.35">
      <c r="A63">
        <v>118</v>
      </c>
      <c r="B63">
        <v>48</v>
      </c>
      <c r="C63">
        <v>1</v>
      </c>
      <c r="D63" s="1">
        <v>42005</v>
      </c>
      <c r="E63">
        <v>12</v>
      </c>
      <c r="F63">
        <v>12</v>
      </c>
      <c r="G63" t="s">
        <v>22</v>
      </c>
      <c r="H63" t="s">
        <v>14</v>
      </c>
      <c r="I63" t="s">
        <v>26</v>
      </c>
    </row>
    <row r="64" spans="1:9" x14ac:dyDescent="0.35">
      <c r="A64">
        <v>125</v>
      </c>
      <c r="B64">
        <v>52</v>
      </c>
      <c r="C64">
        <v>1</v>
      </c>
      <c r="D64" s="1">
        <v>42005</v>
      </c>
      <c r="E64">
        <v>16.5</v>
      </c>
      <c r="F64">
        <v>16.5</v>
      </c>
      <c r="G64" t="s">
        <v>13</v>
      </c>
      <c r="H64" t="s">
        <v>10</v>
      </c>
      <c r="I64" t="s">
        <v>11</v>
      </c>
    </row>
    <row r="65" spans="1:9" x14ac:dyDescent="0.35">
      <c r="A65">
        <v>1</v>
      </c>
      <c r="B65">
        <v>1</v>
      </c>
      <c r="C65">
        <v>1</v>
      </c>
      <c r="D65" s="1">
        <v>42005</v>
      </c>
      <c r="E65">
        <v>13.25</v>
      </c>
      <c r="F65">
        <v>13.25</v>
      </c>
      <c r="G65" t="s">
        <v>9</v>
      </c>
      <c r="H65" t="s">
        <v>10</v>
      </c>
      <c r="I65" t="s">
        <v>11</v>
      </c>
    </row>
    <row r="66" spans="1:9" x14ac:dyDescent="0.35">
      <c r="A66">
        <v>94</v>
      </c>
      <c r="B66">
        <v>38</v>
      </c>
      <c r="C66">
        <v>1</v>
      </c>
      <c r="D66" s="1">
        <v>42005</v>
      </c>
      <c r="E66">
        <v>10.5</v>
      </c>
      <c r="F66">
        <v>10.5</v>
      </c>
      <c r="G66" t="s">
        <v>22</v>
      </c>
      <c r="H66" t="s">
        <v>10</v>
      </c>
      <c r="I66" t="s">
        <v>11</v>
      </c>
    </row>
    <row r="67" spans="1:9" x14ac:dyDescent="0.35">
      <c r="A67">
        <v>110</v>
      </c>
      <c r="B67">
        <v>45</v>
      </c>
      <c r="C67">
        <v>1</v>
      </c>
      <c r="D67" s="1">
        <v>42005</v>
      </c>
      <c r="E67">
        <v>10.5</v>
      </c>
      <c r="F67">
        <v>10.5</v>
      </c>
      <c r="G67" t="s">
        <v>22</v>
      </c>
      <c r="H67" t="s">
        <v>10</v>
      </c>
      <c r="I67" t="s">
        <v>11</v>
      </c>
    </row>
    <row r="68" spans="1:9" x14ac:dyDescent="0.35">
      <c r="A68">
        <v>17</v>
      </c>
      <c r="B68">
        <v>9</v>
      </c>
      <c r="C68">
        <v>1</v>
      </c>
      <c r="D68" s="1">
        <v>42005</v>
      </c>
      <c r="E68">
        <v>20.5</v>
      </c>
      <c r="F68">
        <v>20.5</v>
      </c>
      <c r="G68" t="s">
        <v>13</v>
      </c>
      <c r="H68" t="s">
        <v>10</v>
      </c>
      <c r="I68" t="s">
        <v>27</v>
      </c>
    </row>
    <row r="69" spans="1:9" x14ac:dyDescent="0.35">
      <c r="A69">
        <v>54</v>
      </c>
      <c r="B69">
        <v>19</v>
      </c>
      <c r="C69">
        <v>1</v>
      </c>
      <c r="D69" s="1">
        <v>42005</v>
      </c>
      <c r="E69">
        <v>20.5</v>
      </c>
      <c r="F69">
        <v>20.5</v>
      </c>
      <c r="G69" t="s">
        <v>13</v>
      </c>
      <c r="H69" t="s">
        <v>10</v>
      </c>
      <c r="I69" t="s">
        <v>27</v>
      </c>
    </row>
    <row r="70" spans="1:9" x14ac:dyDescent="0.35">
      <c r="A70">
        <v>58</v>
      </c>
      <c r="B70">
        <v>21</v>
      </c>
      <c r="C70">
        <v>1</v>
      </c>
      <c r="D70" s="1">
        <v>42005</v>
      </c>
      <c r="E70">
        <v>20.5</v>
      </c>
      <c r="F70">
        <v>20.5</v>
      </c>
      <c r="G70" t="s">
        <v>13</v>
      </c>
      <c r="H70" t="s">
        <v>10</v>
      </c>
      <c r="I70" t="s">
        <v>27</v>
      </c>
    </row>
    <row r="71" spans="1:9" x14ac:dyDescent="0.35">
      <c r="A71">
        <v>81</v>
      </c>
      <c r="B71">
        <v>32</v>
      </c>
      <c r="C71">
        <v>1</v>
      </c>
      <c r="D71" s="1">
        <v>42005</v>
      </c>
      <c r="E71">
        <v>20.5</v>
      </c>
      <c r="F71">
        <v>20.5</v>
      </c>
      <c r="G71" t="s">
        <v>13</v>
      </c>
      <c r="H71" t="s">
        <v>10</v>
      </c>
      <c r="I71" t="s">
        <v>27</v>
      </c>
    </row>
    <row r="72" spans="1:9" x14ac:dyDescent="0.35">
      <c r="A72">
        <v>95</v>
      </c>
      <c r="B72">
        <v>38</v>
      </c>
      <c r="C72">
        <v>1</v>
      </c>
      <c r="D72" s="1">
        <v>42005</v>
      </c>
      <c r="E72">
        <v>20.5</v>
      </c>
      <c r="F72">
        <v>20.5</v>
      </c>
      <c r="G72" t="s">
        <v>13</v>
      </c>
      <c r="H72" t="s">
        <v>10</v>
      </c>
      <c r="I72" t="s">
        <v>27</v>
      </c>
    </row>
    <row r="73" spans="1:9" x14ac:dyDescent="0.35">
      <c r="A73">
        <v>60</v>
      </c>
      <c r="B73">
        <v>22</v>
      </c>
      <c r="C73">
        <v>1</v>
      </c>
      <c r="D73" s="1">
        <v>42005</v>
      </c>
      <c r="E73">
        <v>16</v>
      </c>
      <c r="F73">
        <v>16</v>
      </c>
      <c r="G73" t="s">
        <v>9</v>
      </c>
      <c r="H73" t="s">
        <v>10</v>
      </c>
      <c r="I73" t="s">
        <v>27</v>
      </c>
    </row>
    <row r="74" spans="1:9" x14ac:dyDescent="0.35">
      <c r="A74">
        <v>64</v>
      </c>
      <c r="B74">
        <v>24</v>
      </c>
      <c r="C74">
        <v>1</v>
      </c>
      <c r="D74" s="1">
        <v>42005</v>
      </c>
      <c r="E74">
        <v>16</v>
      </c>
      <c r="F74">
        <v>16</v>
      </c>
      <c r="G74" t="s">
        <v>9</v>
      </c>
      <c r="H74" t="s">
        <v>10</v>
      </c>
      <c r="I74" t="s">
        <v>27</v>
      </c>
    </row>
    <row r="75" spans="1:9" x14ac:dyDescent="0.35">
      <c r="A75">
        <v>156</v>
      </c>
      <c r="B75">
        <v>66</v>
      </c>
      <c r="C75">
        <v>1</v>
      </c>
      <c r="D75" s="1">
        <v>42005</v>
      </c>
      <c r="E75">
        <v>16</v>
      </c>
      <c r="F75">
        <v>16</v>
      </c>
      <c r="G75" t="s">
        <v>9</v>
      </c>
      <c r="H75" t="s">
        <v>10</v>
      </c>
      <c r="I75" t="s">
        <v>27</v>
      </c>
    </row>
    <row r="76" spans="1:9" x14ac:dyDescent="0.35">
      <c r="A76">
        <v>4</v>
      </c>
      <c r="B76">
        <v>2</v>
      </c>
      <c r="C76">
        <v>1</v>
      </c>
      <c r="D76" s="1">
        <v>42005</v>
      </c>
      <c r="E76">
        <v>20.75</v>
      </c>
      <c r="F76">
        <v>20.75</v>
      </c>
      <c r="G76" t="s">
        <v>13</v>
      </c>
      <c r="H76" t="s">
        <v>16</v>
      </c>
      <c r="I76" t="s">
        <v>17</v>
      </c>
    </row>
    <row r="77" spans="1:9" x14ac:dyDescent="0.35">
      <c r="A77">
        <v>18</v>
      </c>
      <c r="B77">
        <v>9</v>
      </c>
      <c r="C77">
        <v>1</v>
      </c>
      <c r="D77" s="1">
        <v>42005</v>
      </c>
      <c r="E77">
        <v>20.75</v>
      </c>
      <c r="F77">
        <v>20.75</v>
      </c>
      <c r="G77" t="s">
        <v>13</v>
      </c>
      <c r="H77" t="s">
        <v>16</v>
      </c>
      <c r="I77" t="s">
        <v>17</v>
      </c>
    </row>
    <row r="78" spans="1:9" x14ac:dyDescent="0.35">
      <c r="A78">
        <v>92</v>
      </c>
      <c r="B78">
        <v>37</v>
      </c>
      <c r="C78">
        <v>1</v>
      </c>
      <c r="D78" s="1">
        <v>42005</v>
      </c>
      <c r="E78">
        <v>20.75</v>
      </c>
      <c r="F78">
        <v>20.75</v>
      </c>
      <c r="G78" t="s">
        <v>13</v>
      </c>
      <c r="H78" t="s">
        <v>16</v>
      </c>
      <c r="I78" t="s">
        <v>17</v>
      </c>
    </row>
    <row r="79" spans="1:9" x14ac:dyDescent="0.35">
      <c r="A79">
        <v>96</v>
      </c>
      <c r="B79">
        <v>39</v>
      </c>
      <c r="C79">
        <v>1</v>
      </c>
      <c r="D79" s="1">
        <v>42005</v>
      </c>
      <c r="E79">
        <v>20.75</v>
      </c>
      <c r="F79">
        <v>20.75</v>
      </c>
      <c r="G79" t="s">
        <v>13</v>
      </c>
      <c r="H79" t="s">
        <v>16</v>
      </c>
      <c r="I79" t="s">
        <v>17</v>
      </c>
    </row>
    <row r="80" spans="1:9" x14ac:dyDescent="0.35">
      <c r="A80">
        <v>146</v>
      </c>
      <c r="B80">
        <v>61</v>
      </c>
      <c r="C80">
        <v>1</v>
      </c>
      <c r="D80" s="1">
        <v>42005</v>
      </c>
      <c r="E80">
        <v>20.75</v>
      </c>
      <c r="F80">
        <v>20.75</v>
      </c>
      <c r="G80" t="s">
        <v>13</v>
      </c>
      <c r="H80" t="s">
        <v>16</v>
      </c>
      <c r="I80" t="s">
        <v>17</v>
      </c>
    </row>
    <row r="81" spans="1:9" x14ac:dyDescent="0.35">
      <c r="A81">
        <v>159</v>
      </c>
      <c r="B81">
        <v>68</v>
      </c>
      <c r="C81">
        <v>1</v>
      </c>
      <c r="D81" s="1">
        <v>42005</v>
      </c>
      <c r="E81">
        <v>20.75</v>
      </c>
      <c r="F81">
        <v>20.75</v>
      </c>
      <c r="G81" t="s">
        <v>13</v>
      </c>
      <c r="H81" t="s">
        <v>16</v>
      </c>
      <c r="I81" t="s">
        <v>17</v>
      </c>
    </row>
    <row r="82" spans="1:9" x14ac:dyDescent="0.35">
      <c r="A82">
        <v>7</v>
      </c>
      <c r="B82">
        <v>3</v>
      </c>
      <c r="C82">
        <v>1</v>
      </c>
      <c r="D82" s="1">
        <v>42005</v>
      </c>
      <c r="E82">
        <v>16.5</v>
      </c>
      <c r="F82">
        <v>16.5</v>
      </c>
      <c r="G82" t="s">
        <v>9</v>
      </c>
      <c r="H82" t="s">
        <v>16</v>
      </c>
      <c r="I82" t="s">
        <v>17</v>
      </c>
    </row>
    <row r="83" spans="1:9" x14ac:dyDescent="0.35">
      <c r="A83">
        <v>9</v>
      </c>
      <c r="B83">
        <v>4</v>
      </c>
      <c r="C83">
        <v>1</v>
      </c>
      <c r="D83" s="1">
        <v>42005</v>
      </c>
      <c r="E83">
        <v>16.5</v>
      </c>
      <c r="F83">
        <v>16.5</v>
      </c>
      <c r="G83" t="s">
        <v>9</v>
      </c>
      <c r="H83" t="s">
        <v>16</v>
      </c>
      <c r="I83" t="s">
        <v>17</v>
      </c>
    </row>
    <row r="84" spans="1:9" x14ac:dyDescent="0.35">
      <c r="A84">
        <v>10</v>
      </c>
      <c r="B84">
        <v>5</v>
      </c>
      <c r="C84">
        <v>1</v>
      </c>
      <c r="D84" s="1">
        <v>42005</v>
      </c>
      <c r="E84">
        <v>16.5</v>
      </c>
      <c r="F84">
        <v>16.5</v>
      </c>
      <c r="G84" t="s">
        <v>9</v>
      </c>
      <c r="H84" t="s">
        <v>16</v>
      </c>
      <c r="I84" t="s">
        <v>17</v>
      </c>
    </row>
    <row r="85" spans="1:9" x14ac:dyDescent="0.35">
      <c r="A85">
        <v>33</v>
      </c>
      <c r="B85">
        <v>12</v>
      </c>
      <c r="C85">
        <v>1</v>
      </c>
      <c r="D85" s="1">
        <v>42005</v>
      </c>
      <c r="E85">
        <v>16.5</v>
      </c>
      <c r="F85">
        <v>16.5</v>
      </c>
      <c r="G85" t="s">
        <v>9</v>
      </c>
      <c r="H85" t="s">
        <v>16</v>
      </c>
      <c r="I85" t="s">
        <v>17</v>
      </c>
    </row>
    <row r="86" spans="1:9" x14ac:dyDescent="0.35">
      <c r="A86">
        <v>47</v>
      </c>
      <c r="B86">
        <v>17</v>
      </c>
      <c r="C86">
        <v>1</v>
      </c>
      <c r="D86" s="1">
        <v>42005</v>
      </c>
      <c r="E86">
        <v>16.5</v>
      </c>
      <c r="F86">
        <v>16.5</v>
      </c>
      <c r="G86" t="s">
        <v>9</v>
      </c>
      <c r="H86" t="s">
        <v>16</v>
      </c>
      <c r="I86" t="s">
        <v>17</v>
      </c>
    </row>
    <row r="87" spans="1:9" x14ac:dyDescent="0.35">
      <c r="A87">
        <v>82</v>
      </c>
      <c r="B87">
        <v>32</v>
      </c>
      <c r="C87">
        <v>1</v>
      </c>
      <c r="D87" s="1">
        <v>42005</v>
      </c>
      <c r="E87">
        <v>16.5</v>
      </c>
      <c r="F87">
        <v>16.5</v>
      </c>
      <c r="G87" t="s">
        <v>9</v>
      </c>
      <c r="H87" t="s">
        <v>16</v>
      </c>
      <c r="I87" t="s">
        <v>17</v>
      </c>
    </row>
    <row r="88" spans="1:9" x14ac:dyDescent="0.35">
      <c r="A88">
        <v>106</v>
      </c>
      <c r="B88">
        <v>43</v>
      </c>
      <c r="C88">
        <v>1</v>
      </c>
      <c r="D88" s="1">
        <v>42005</v>
      </c>
      <c r="E88">
        <v>16.5</v>
      </c>
      <c r="F88">
        <v>16.5</v>
      </c>
      <c r="G88" t="s">
        <v>9</v>
      </c>
      <c r="H88" t="s">
        <v>16</v>
      </c>
      <c r="I88" t="s">
        <v>17</v>
      </c>
    </row>
    <row r="89" spans="1:9" x14ac:dyDescent="0.35">
      <c r="A89">
        <v>160</v>
      </c>
      <c r="B89">
        <v>68</v>
      </c>
      <c r="C89">
        <v>1</v>
      </c>
      <c r="D89" s="1">
        <v>42005</v>
      </c>
      <c r="E89">
        <v>16.5</v>
      </c>
      <c r="F89">
        <v>16.5</v>
      </c>
      <c r="G89" t="s">
        <v>9</v>
      </c>
      <c r="H89" t="s">
        <v>16</v>
      </c>
      <c r="I89" t="s">
        <v>17</v>
      </c>
    </row>
    <row r="90" spans="1:9" x14ac:dyDescent="0.35">
      <c r="A90">
        <v>19</v>
      </c>
      <c r="B90">
        <v>9</v>
      </c>
      <c r="C90">
        <v>1</v>
      </c>
      <c r="D90" s="1">
        <v>42005</v>
      </c>
      <c r="E90">
        <v>12.5</v>
      </c>
      <c r="F90">
        <v>12.5</v>
      </c>
      <c r="G90" t="s">
        <v>22</v>
      </c>
      <c r="H90" t="s">
        <v>16</v>
      </c>
      <c r="I90" t="s">
        <v>17</v>
      </c>
    </row>
    <row r="91" spans="1:9" x14ac:dyDescent="0.35">
      <c r="A91">
        <v>48</v>
      </c>
      <c r="B91">
        <v>17</v>
      </c>
      <c r="C91">
        <v>1</v>
      </c>
      <c r="D91" s="1">
        <v>42005</v>
      </c>
      <c r="E91">
        <v>12.75</v>
      </c>
      <c r="F91">
        <v>12.75</v>
      </c>
      <c r="G91" t="s">
        <v>22</v>
      </c>
      <c r="H91" t="s">
        <v>14</v>
      </c>
      <c r="I91" t="s">
        <v>40</v>
      </c>
    </row>
    <row r="92" spans="1:9" x14ac:dyDescent="0.35">
      <c r="A92">
        <v>140</v>
      </c>
      <c r="B92">
        <v>59</v>
      </c>
      <c r="C92">
        <v>1</v>
      </c>
      <c r="D92" s="1">
        <v>42005</v>
      </c>
      <c r="E92">
        <v>12.75</v>
      </c>
      <c r="F92">
        <v>12.75</v>
      </c>
      <c r="G92" t="s">
        <v>22</v>
      </c>
      <c r="H92" t="s">
        <v>14</v>
      </c>
      <c r="I92" t="s">
        <v>40</v>
      </c>
    </row>
    <row r="93" spans="1:9" x14ac:dyDescent="0.35">
      <c r="A93">
        <v>135</v>
      </c>
      <c r="B93">
        <v>56</v>
      </c>
      <c r="C93">
        <v>1</v>
      </c>
      <c r="D93" s="1">
        <v>42005</v>
      </c>
      <c r="E93">
        <v>20.25</v>
      </c>
      <c r="F93">
        <v>20.25</v>
      </c>
      <c r="G93" t="s">
        <v>13</v>
      </c>
      <c r="H93" t="s">
        <v>14</v>
      </c>
      <c r="I93" t="s">
        <v>41</v>
      </c>
    </row>
    <row r="94" spans="1:9" x14ac:dyDescent="0.35">
      <c r="A94">
        <v>49</v>
      </c>
      <c r="B94">
        <v>17</v>
      </c>
      <c r="C94">
        <v>2</v>
      </c>
      <c r="D94" s="1">
        <v>42005</v>
      </c>
      <c r="E94">
        <v>16</v>
      </c>
      <c r="F94">
        <v>32</v>
      </c>
      <c r="G94" t="s">
        <v>9</v>
      </c>
      <c r="H94" t="s">
        <v>14</v>
      </c>
      <c r="I94" t="s">
        <v>41</v>
      </c>
    </row>
    <row r="95" spans="1:9" x14ac:dyDescent="0.35">
      <c r="A95">
        <v>24</v>
      </c>
      <c r="B95">
        <v>10</v>
      </c>
      <c r="C95">
        <v>1</v>
      </c>
      <c r="D95" s="1">
        <v>42005</v>
      </c>
      <c r="E95">
        <v>20.25</v>
      </c>
      <c r="F95">
        <v>20.25</v>
      </c>
      <c r="G95" t="s">
        <v>13</v>
      </c>
      <c r="H95" t="s">
        <v>14</v>
      </c>
      <c r="I95" t="s">
        <v>18</v>
      </c>
    </row>
    <row r="96" spans="1:9" x14ac:dyDescent="0.35">
      <c r="A96">
        <v>34</v>
      </c>
      <c r="B96">
        <v>13</v>
      </c>
      <c r="C96">
        <v>1</v>
      </c>
      <c r="D96" s="1">
        <v>42005</v>
      </c>
      <c r="E96">
        <v>20.25</v>
      </c>
      <c r="F96">
        <v>20.25</v>
      </c>
      <c r="G96" t="s">
        <v>13</v>
      </c>
      <c r="H96" t="s">
        <v>14</v>
      </c>
      <c r="I96" t="s">
        <v>18</v>
      </c>
    </row>
    <row r="97" spans="1:9" x14ac:dyDescent="0.35">
      <c r="A97">
        <v>50</v>
      </c>
      <c r="B97">
        <v>17</v>
      </c>
      <c r="C97">
        <v>1</v>
      </c>
      <c r="D97" s="1">
        <v>42005</v>
      </c>
      <c r="E97">
        <v>20.25</v>
      </c>
      <c r="F97">
        <v>20.25</v>
      </c>
      <c r="G97" t="s">
        <v>13</v>
      </c>
      <c r="H97" t="s">
        <v>14</v>
      </c>
      <c r="I97" t="s">
        <v>18</v>
      </c>
    </row>
    <row r="98" spans="1:9" x14ac:dyDescent="0.35">
      <c r="A98">
        <v>93</v>
      </c>
      <c r="B98">
        <v>37</v>
      </c>
      <c r="C98">
        <v>1</v>
      </c>
      <c r="D98" s="1">
        <v>42005</v>
      </c>
      <c r="E98">
        <v>20.25</v>
      </c>
      <c r="F98">
        <v>20.25</v>
      </c>
      <c r="G98" t="s">
        <v>13</v>
      </c>
      <c r="H98" t="s">
        <v>14</v>
      </c>
      <c r="I98" t="s">
        <v>18</v>
      </c>
    </row>
    <row r="99" spans="1:9" x14ac:dyDescent="0.35">
      <c r="A99">
        <v>103</v>
      </c>
      <c r="B99">
        <v>42</v>
      </c>
      <c r="C99">
        <v>1</v>
      </c>
      <c r="D99" s="1">
        <v>42005</v>
      </c>
      <c r="E99">
        <v>20.25</v>
      </c>
      <c r="F99">
        <v>20.25</v>
      </c>
      <c r="G99" t="s">
        <v>13</v>
      </c>
      <c r="H99" t="s">
        <v>14</v>
      </c>
      <c r="I99" t="s">
        <v>18</v>
      </c>
    </row>
    <row r="100" spans="1:9" x14ac:dyDescent="0.35">
      <c r="A100">
        <v>126</v>
      </c>
      <c r="B100">
        <v>52</v>
      </c>
      <c r="C100">
        <v>1</v>
      </c>
      <c r="D100" s="1">
        <v>42005</v>
      </c>
      <c r="E100">
        <v>20.25</v>
      </c>
      <c r="F100">
        <v>20.25</v>
      </c>
      <c r="G100" t="s">
        <v>13</v>
      </c>
      <c r="H100" t="s">
        <v>14</v>
      </c>
      <c r="I100" t="s">
        <v>18</v>
      </c>
    </row>
    <row r="101" spans="1:9" x14ac:dyDescent="0.35">
      <c r="A101">
        <v>5</v>
      </c>
      <c r="B101">
        <v>2</v>
      </c>
      <c r="C101">
        <v>1</v>
      </c>
      <c r="D101" s="1">
        <v>42005</v>
      </c>
      <c r="E101">
        <v>16</v>
      </c>
      <c r="F101">
        <v>16</v>
      </c>
      <c r="G101" t="s">
        <v>9</v>
      </c>
      <c r="H101" t="s">
        <v>14</v>
      </c>
      <c r="I101" t="s">
        <v>18</v>
      </c>
    </row>
    <row r="102" spans="1:9" x14ac:dyDescent="0.35">
      <c r="A102">
        <v>77</v>
      </c>
      <c r="B102">
        <v>31</v>
      </c>
      <c r="C102">
        <v>1</v>
      </c>
      <c r="D102" s="1">
        <v>42005</v>
      </c>
      <c r="E102">
        <v>16</v>
      </c>
      <c r="F102">
        <v>16</v>
      </c>
      <c r="G102" t="s">
        <v>9</v>
      </c>
      <c r="H102" t="s">
        <v>14</v>
      </c>
      <c r="I102" t="s">
        <v>18</v>
      </c>
    </row>
    <row r="103" spans="1:9" x14ac:dyDescent="0.35">
      <c r="A103">
        <v>20</v>
      </c>
      <c r="B103">
        <v>9</v>
      </c>
      <c r="C103">
        <v>1</v>
      </c>
      <c r="D103" s="1">
        <v>42005</v>
      </c>
      <c r="E103">
        <v>12</v>
      </c>
      <c r="F103">
        <v>12</v>
      </c>
      <c r="G103" t="s">
        <v>22</v>
      </c>
      <c r="H103" t="s">
        <v>14</v>
      </c>
      <c r="I103" t="s">
        <v>18</v>
      </c>
    </row>
    <row r="104" spans="1:9" x14ac:dyDescent="0.35">
      <c r="A104">
        <v>53</v>
      </c>
      <c r="B104">
        <v>18</v>
      </c>
      <c r="C104">
        <v>1</v>
      </c>
      <c r="D104" s="1">
        <v>42005</v>
      </c>
      <c r="E104">
        <v>20.5</v>
      </c>
      <c r="F104">
        <v>20.5</v>
      </c>
      <c r="G104" t="s">
        <v>13</v>
      </c>
      <c r="H104" t="s">
        <v>10</v>
      </c>
      <c r="I104" t="s">
        <v>38</v>
      </c>
    </row>
    <row r="105" spans="1:9" x14ac:dyDescent="0.35">
      <c r="A105">
        <v>41</v>
      </c>
      <c r="B105">
        <v>16</v>
      </c>
      <c r="C105">
        <v>1</v>
      </c>
      <c r="D105" s="1">
        <v>42005</v>
      </c>
      <c r="E105">
        <v>12</v>
      </c>
      <c r="F105">
        <v>12</v>
      </c>
      <c r="G105" t="s">
        <v>22</v>
      </c>
      <c r="H105" t="s">
        <v>10</v>
      </c>
      <c r="I105" t="s">
        <v>38</v>
      </c>
    </row>
    <row r="106" spans="1:9" x14ac:dyDescent="0.35">
      <c r="A106">
        <v>107</v>
      </c>
      <c r="B106">
        <v>43</v>
      </c>
      <c r="C106">
        <v>1</v>
      </c>
      <c r="D106" s="1">
        <v>42005</v>
      </c>
      <c r="E106">
        <v>20.75</v>
      </c>
      <c r="F106">
        <v>20.75</v>
      </c>
      <c r="G106" t="s">
        <v>13</v>
      </c>
      <c r="H106" t="s">
        <v>16</v>
      </c>
      <c r="I106" t="s">
        <v>42</v>
      </c>
    </row>
    <row r="107" spans="1:9" x14ac:dyDescent="0.35">
      <c r="A107">
        <v>104</v>
      </c>
      <c r="B107">
        <v>42</v>
      </c>
      <c r="C107">
        <v>1</v>
      </c>
      <c r="D107" s="1">
        <v>42005</v>
      </c>
      <c r="E107">
        <v>16.5</v>
      </c>
      <c r="F107">
        <v>16.5</v>
      </c>
      <c r="G107" t="s">
        <v>9</v>
      </c>
      <c r="H107" t="s">
        <v>16</v>
      </c>
      <c r="I107" t="s">
        <v>42</v>
      </c>
    </row>
    <row r="108" spans="1:9" x14ac:dyDescent="0.35">
      <c r="A108">
        <v>51</v>
      </c>
      <c r="B108">
        <v>17</v>
      </c>
      <c r="C108">
        <v>1</v>
      </c>
      <c r="D108" s="1">
        <v>42005</v>
      </c>
      <c r="E108">
        <v>12.5</v>
      </c>
      <c r="F108">
        <v>12.5</v>
      </c>
      <c r="G108" t="s">
        <v>22</v>
      </c>
      <c r="H108" t="s">
        <v>16</v>
      </c>
      <c r="I108" t="s">
        <v>42</v>
      </c>
    </row>
    <row r="109" spans="1:9" x14ac:dyDescent="0.35">
      <c r="A109">
        <v>132</v>
      </c>
      <c r="B109">
        <v>55</v>
      </c>
      <c r="C109">
        <v>1</v>
      </c>
      <c r="D109" s="1">
        <v>42005</v>
      </c>
      <c r="E109">
        <v>12.5</v>
      </c>
      <c r="F109">
        <v>12.5</v>
      </c>
      <c r="G109" t="s">
        <v>22</v>
      </c>
      <c r="H109" t="s">
        <v>16</v>
      </c>
      <c r="I109" t="s">
        <v>42</v>
      </c>
    </row>
    <row r="110" spans="1:9" x14ac:dyDescent="0.35">
      <c r="A110">
        <v>29</v>
      </c>
      <c r="B110">
        <v>11</v>
      </c>
      <c r="C110">
        <v>1</v>
      </c>
      <c r="D110" s="1">
        <v>42005</v>
      </c>
      <c r="E110">
        <v>15.25</v>
      </c>
      <c r="F110">
        <v>15.25</v>
      </c>
      <c r="G110" t="s">
        <v>13</v>
      </c>
      <c r="H110" t="s">
        <v>10</v>
      </c>
      <c r="I110" t="s">
        <v>33</v>
      </c>
    </row>
    <row r="111" spans="1:9" x14ac:dyDescent="0.35">
      <c r="A111">
        <v>142</v>
      </c>
      <c r="B111">
        <v>59</v>
      </c>
      <c r="C111">
        <v>1</v>
      </c>
      <c r="D111" s="1">
        <v>42005</v>
      </c>
      <c r="E111">
        <v>15.25</v>
      </c>
      <c r="F111">
        <v>15.25</v>
      </c>
      <c r="G111" t="s">
        <v>13</v>
      </c>
      <c r="H111" t="s">
        <v>10</v>
      </c>
      <c r="I111" t="s">
        <v>33</v>
      </c>
    </row>
    <row r="112" spans="1:9" x14ac:dyDescent="0.35">
      <c r="A112">
        <v>65</v>
      </c>
      <c r="B112">
        <v>24</v>
      </c>
      <c r="C112">
        <v>1</v>
      </c>
      <c r="D112" s="1">
        <v>42005</v>
      </c>
      <c r="E112">
        <v>12.5</v>
      </c>
      <c r="F112">
        <v>12.5</v>
      </c>
      <c r="G112" t="s">
        <v>9</v>
      </c>
      <c r="H112" t="s">
        <v>10</v>
      </c>
      <c r="I112" t="s">
        <v>33</v>
      </c>
    </row>
    <row r="113" spans="1:9" x14ac:dyDescent="0.35">
      <c r="A113">
        <v>88</v>
      </c>
      <c r="B113">
        <v>35</v>
      </c>
      <c r="C113">
        <v>1</v>
      </c>
      <c r="D113" s="1">
        <v>42005</v>
      </c>
      <c r="E113">
        <v>12.5</v>
      </c>
      <c r="F113">
        <v>12.5</v>
      </c>
      <c r="G113" t="s">
        <v>9</v>
      </c>
      <c r="H113" t="s">
        <v>10</v>
      </c>
      <c r="I113" t="s">
        <v>33</v>
      </c>
    </row>
    <row r="114" spans="1:9" x14ac:dyDescent="0.35">
      <c r="A114">
        <v>139</v>
      </c>
      <c r="B114">
        <v>58</v>
      </c>
      <c r="C114">
        <v>1</v>
      </c>
      <c r="D114" s="1">
        <v>42005</v>
      </c>
      <c r="E114">
        <v>12.5</v>
      </c>
      <c r="F114">
        <v>12.5</v>
      </c>
      <c r="G114" t="s">
        <v>9</v>
      </c>
      <c r="H114" t="s">
        <v>10</v>
      </c>
      <c r="I114" t="s">
        <v>33</v>
      </c>
    </row>
    <row r="115" spans="1:9" x14ac:dyDescent="0.35">
      <c r="A115">
        <v>78</v>
      </c>
      <c r="B115">
        <v>31</v>
      </c>
      <c r="C115">
        <v>1</v>
      </c>
      <c r="D115" s="1">
        <v>42005</v>
      </c>
      <c r="E115">
        <v>9.75</v>
      </c>
      <c r="F115">
        <v>9.75</v>
      </c>
      <c r="G115" t="s">
        <v>22</v>
      </c>
      <c r="H115" t="s">
        <v>10</v>
      </c>
      <c r="I115" t="s">
        <v>33</v>
      </c>
    </row>
    <row r="116" spans="1:9" x14ac:dyDescent="0.35">
      <c r="A116">
        <v>87</v>
      </c>
      <c r="B116">
        <v>35</v>
      </c>
      <c r="C116">
        <v>1</v>
      </c>
      <c r="D116" s="1">
        <v>42005</v>
      </c>
      <c r="E116">
        <v>17.5</v>
      </c>
      <c r="F116">
        <v>17.5</v>
      </c>
      <c r="G116" t="s">
        <v>13</v>
      </c>
      <c r="H116" t="s">
        <v>10</v>
      </c>
      <c r="I116" t="s">
        <v>46</v>
      </c>
    </row>
    <row r="117" spans="1:9" x14ac:dyDescent="0.35">
      <c r="A117">
        <v>124</v>
      </c>
      <c r="B117">
        <v>51</v>
      </c>
      <c r="C117">
        <v>1</v>
      </c>
      <c r="D117" s="1">
        <v>42005</v>
      </c>
      <c r="E117">
        <v>17.5</v>
      </c>
      <c r="F117">
        <v>17.5</v>
      </c>
      <c r="G117" t="s">
        <v>13</v>
      </c>
      <c r="H117" t="s">
        <v>10</v>
      </c>
      <c r="I117" t="s">
        <v>46</v>
      </c>
    </row>
    <row r="118" spans="1:9" x14ac:dyDescent="0.35">
      <c r="A118">
        <v>149</v>
      </c>
      <c r="B118">
        <v>63</v>
      </c>
      <c r="C118">
        <v>1</v>
      </c>
      <c r="D118" s="1">
        <v>42005</v>
      </c>
      <c r="E118">
        <v>14.5</v>
      </c>
      <c r="F118">
        <v>14.5</v>
      </c>
      <c r="G118" t="s">
        <v>9</v>
      </c>
      <c r="H118" t="s">
        <v>10</v>
      </c>
      <c r="I118" t="s">
        <v>46</v>
      </c>
    </row>
    <row r="119" spans="1:9" x14ac:dyDescent="0.35">
      <c r="A119">
        <v>128</v>
      </c>
      <c r="B119">
        <v>53</v>
      </c>
      <c r="C119">
        <v>1</v>
      </c>
      <c r="D119" s="1">
        <v>42005</v>
      </c>
      <c r="E119">
        <v>11</v>
      </c>
      <c r="F119">
        <v>11</v>
      </c>
      <c r="G119" t="s">
        <v>22</v>
      </c>
      <c r="H119" t="s">
        <v>10</v>
      </c>
      <c r="I119" t="s">
        <v>46</v>
      </c>
    </row>
    <row r="120" spans="1:9" x14ac:dyDescent="0.35">
      <c r="A120">
        <v>141</v>
      </c>
      <c r="B120">
        <v>59</v>
      </c>
      <c r="C120">
        <v>1</v>
      </c>
      <c r="D120" s="1">
        <v>42005</v>
      </c>
      <c r="E120">
        <v>11</v>
      </c>
      <c r="F120">
        <v>11</v>
      </c>
      <c r="G120" t="s">
        <v>22</v>
      </c>
      <c r="H120" t="s">
        <v>10</v>
      </c>
      <c r="I120" t="s">
        <v>46</v>
      </c>
    </row>
    <row r="121" spans="1:9" x14ac:dyDescent="0.35">
      <c r="A121">
        <v>151</v>
      </c>
      <c r="B121">
        <v>65</v>
      </c>
      <c r="C121">
        <v>1</v>
      </c>
      <c r="D121" s="1">
        <v>42005</v>
      </c>
      <c r="E121">
        <v>11</v>
      </c>
      <c r="F121">
        <v>11</v>
      </c>
      <c r="G121" t="s">
        <v>22</v>
      </c>
      <c r="H121" t="s">
        <v>10</v>
      </c>
      <c r="I121" t="s">
        <v>46</v>
      </c>
    </row>
    <row r="122" spans="1:9" x14ac:dyDescent="0.35">
      <c r="A122">
        <v>8</v>
      </c>
      <c r="B122">
        <v>3</v>
      </c>
      <c r="C122">
        <v>1</v>
      </c>
      <c r="D122" s="1">
        <v>42005</v>
      </c>
      <c r="E122">
        <v>20.75</v>
      </c>
      <c r="F122">
        <v>20.75</v>
      </c>
      <c r="G122" t="s">
        <v>13</v>
      </c>
      <c r="H122" t="s">
        <v>16</v>
      </c>
      <c r="I122" t="s">
        <v>21</v>
      </c>
    </row>
    <row r="123" spans="1:9" x14ac:dyDescent="0.35">
      <c r="A123">
        <v>119</v>
      </c>
      <c r="B123">
        <v>48</v>
      </c>
      <c r="C123">
        <v>1</v>
      </c>
      <c r="D123" s="1">
        <v>42005</v>
      </c>
      <c r="E123">
        <v>20.75</v>
      </c>
      <c r="F123">
        <v>20.75</v>
      </c>
      <c r="G123" t="s">
        <v>13</v>
      </c>
      <c r="H123" t="s">
        <v>16</v>
      </c>
      <c r="I123" t="s">
        <v>21</v>
      </c>
    </row>
    <row r="124" spans="1:9" x14ac:dyDescent="0.35">
      <c r="A124">
        <v>130</v>
      </c>
      <c r="B124">
        <v>54</v>
      </c>
      <c r="C124">
        <v>1</v>
      </c>
      <c r="D124" s="1">
        <v>42005</v>
      </c>
      <c r="E124">
        <v>16.5</v>
      </c>
      <c r="F124">
        <v>16.5</v>
      </c>
      <c r="G124" t="s">
        <v>9</v>
      </c>
      <c r="H124" t="s">
        <v>16</v>
      </c>
      <c r="I124" t="s">
        <v>21</v>
      </c>
    </row>
    <row r="125" spans="1:9" x14ac:dyDescent="0.35">
      <c r="A125">
        <v>66</v>
      </c>
      <c r="B125">
        <v>24</v>
      </c>
      <c r="C125">
        <v>1</v>
      </c>
      <c r="D125" s="1">
        <v>42005</v>
      </c>
      <c r="E125">
        <v>12.5</v>
      </c>
      <c r="F125">
        <v>12.5</v>
      </c>
      <c r="G125" t="s">
        <v>22</v>
      </c>
      <c r="H125" t="s">
        <v>16</v>
      </c>
      <c r="I125" t="s">
        <v>21</v>
      </c>
    </row>
    <row r="126" spans="1:9" x14ac:dyDescent="0.35">
      <c r="A126">
        <v>55</v>
      </c>
      <c r="B126">
        <v>19</v>
      </c>
      <c r="C126">
        <v>1</v>
      </c>
      <c r="D126" s="1">
        <v>42005</v>
      </c>
      <c r="E126">
        <v>20.25</v>
      </c>
      <c r="F126">
        <v>20.25</v>
      </c>
      <c r="G126" t="s">
        <v>13</v>
      </c>
      <c r="H126" t="s">
        <v>16</v>
      </c>
      <c r="I126" t="s">
        <v>44</v>
      </c>
    </row>
    <row r="127" spans="1:9" x14ac:dyDescent="0.35">
      <c r="A127">
        <v>121</v>
      </c>
      <c r="B127">
        <v>49</v>
      </c>
      <c r="C127">
        <v>1</v>
      </c>
      <c r="D127" s="1">
        <v>42005</v>
      </c>
      <c r="E127">
        <v>20.25</v>
      </c>
      <c r="F127">
        <v>20.25</v>
      </c>
      <c r="G127" t="s">
        <v>13</v>
      </c>
      <c r="H127" t="s">
        <v>16</v>
      </c>
      <c r="I127" t="s">
        <v>44</v>
      </c>
    </row>
    <row r="128" spans="1:9" x14ac:dyDescent="0.35">
      <c r="A128">
        <v>67</v>
      </c>
      <c r="B128">
        <v>25</v>
      </c>
      <c r="C128">
        <v>1</v>
      </c>
      <c r="D128" s="1">
        <v>42005</v>
      </c>
      <c r="E128">
        <v>16.25</v>
      </c>
      <c r="F128">
        <v>16.25</v>
      </c>
      <c r="G128" t="s">
        <v>9</v>
      </c>
      <c r="H128" t="s">
        <v>16</v>
      </c>
      <c r="I128" t="s">
        <v>44</v>
      </c>
    </row>
    <row r="129" spans="1:9" x14ac:dyDescent="0.35">
      <c r="A129">
        <v>152</v>
      </c>
      <c r="B129">
        <v>65</v>
      </c>
      <c r="C129">
        <v>1</v>
      </c>
      <c r="D129" s="1">
        <v>42005</v>
      </c>
      <c r="E129">
        <v>12.25</v>
      </c>
      <c r="F129">
        <v>12.25</v>
      </c>
      <c r="G129" t="s">
        <v>22</v>
      </c>
      <c r="H129" t="s">
        <v>16</v>
      </c>
      <c r="I129" t="s">
        <v>44</v>
      </c>
    </row>
    <row r="130" spans="1:9" x14ac:dyDescent="0.35">
      <c r="A130">
        <v>38</v>
      </c>
      <c r="B130">
        <v>15</v>
      </c>
      <c r="C130">
        <v>1</v>
      </c>
      <c r="D130" s="1">
        <v>42005</v>
      </c>
      <c r="E130">
        <v>20.75</v>
      </c>
      <c r="F130">
        <v>20.75</v>
      </c>
      <c r="G130" t="s">
        <v>13</v>
      </c>
      <c r="H130" t="s">
        <v>16</v>
      </c>
      <c r="I130" t="s">
        <v>36</v>
      </c>
    </row>
    <row r="131" spans="1:9" x14ac:dyDescent="0.35">
      <c r="A131">
        <v>25</v>
      </c>
      <c r="B131">
        <v>10</v>
      </c>
      <c r="C131">
        <v>1</v>
      </c>
      <c r="D131" s="1">
        <v>42005</v>
      </c>
      <c r="E131">
        <v>20.75</v>
      </c>
      <c r="F131">
        <v>20.75</v>
      </c>
      <c r="G131" t="s">
        <v>13</v>
      </c>
      <c r="H131" t="s">
        <v>19</v>
      </c>
      <c r="I131" t="s">
        <v>31</v>
      </c>
    </row>
    <row r="132" spans="1:9" x14ac:dyDescent="0.35">
      <c r="A132">
        <v>61</v>
      </c>
      <c r="B132">
        <v>22</v>
      </c>
      <c r="C132">
        <v>1</v>
      </c>
      <c r="D132" s="1">
        <v>42005</v>
      </c>
      <c r="E132">
        <v>20.75</v>
      </c>
      <c r="F132">
        <v>20.75</v>
      </c>
      <c r="G132" t="s">
        <v>13</v>
      </c>
      <c r="H132" t="s">
        <v>19</v>
      </c>
      <c r="I132" t="s">
        <v>31</v>
      </c>
    </row>
    <row r="133" spans="1:9" x14ac:dyDescent="0.35">
      <c r="A133">
        <v>115</v>
      </c>
      <c r="B133">
        <v>47</v>
      </c>
      <c r="C133">
        <v>1</v>
      </c>
      <c r="D133" s="1">
        <v>42005</v>
      </c>
      <c r="E133">
        <v>20.75</v>
      </c>
      <c r="F133">
        <v>20.75</v>
      </c>
      <c r="G133" t="s">
        <v>13</v>
      </c>
      <c r="H133" t="s">
        <v>19</v>
      </c>
      <c r="I133" t="s">
        <v>31</v>
      </c>
    </row>
    <row r="134" spans="1:9" x14ac:dyDescent="0.35">
      <c r="A134">
        <v>157</v>
      </c>
      <c r="B134">
        <v>67</v>
      </c>
      <c r="C134">
        <v>1</v>
      </c>
      <c r="D134" s="1">
        <v>42005</v>
      </c>
      <c r="E134">
        <v>20.75</v>
      </c>
      <c r="F134">
        <v>20.75</v>
      </c>
      <c r="G134" t="s">
        <v>13</v>
      </c>
      <c r="H134" t="s">
        <v>19</v>
      </c>
      <c r="I134" t="s">
        <v>31</v>
      </c>
    </row>
    <row r="135" spans="1:9" x14ac:dyDescent="0.35">
      <c r="A135">
        <v>136</v>
      </c>
      <c r="B135">
        <v>56</v>
      </c>
      <c r="C135">
        <v>1</v>
      </c>
      <c r="D135" s="1">
        <v>42005</v>
      </c>
      <c r="E135">
        <v>16.75</v>
      </c>
      <c r="F135">
        <v>16.75</v>
      </c>
      <c r="G135" t="s">
        <v>9</v>
      </c>
      <c r="H135" t="s">
        <v>19</v>
      </c>
      <c r="I135" t="s">
        <v>31</v>
      </c>
    </row>
    <row r="136" spans="1:9" x14ac:dyDescent="0.35">
      <c r="A136">
        <v>62</v>
      </c>
      <c r="B136">
        <v>23</v>
      </c>
      <c r="C136">
        <v>1</v>
      </c>
      <c r="D136" s="1">
        <v>42005</v>
      </c>
      <c r="E136">
        <v>12.75</v>
      </c>
      <c r="F136">
        <v>12.75</v>
      </c>
      <c r="G136" t="s">
        <v>22</v>
      </c>
      <c r="H136" t="s">
        <v>19</v>
      </c>
      <c r="I136" t="s">
        <v>31</v>
      </c>
    </row>
    <row r="137" spans="1:9" x14ac:dyDescent="0.35">
      <c r="A137">
        <v>98</v>
      </c>
      <c r="B137">
        <v>40</v>
      </c>
      <c r="C137">
        <v>1</v>
      </c>
      <c r="D137" s="1">
        <v>42005</v>
      </c>
      <c r="E137">
        <v>12.75</v>
      </c>
      <c r="F137">
        <v>12.75</v>
      </c>
      <c r="G137" t="s">
        <v>22</v>
      </c>
      <c r="H137" t="s">
        <v>19</v>
      </c>
      <c r="I137" t="s">
        <v>31</v>
      </c>
    </row>
    <row r="138" spans="1:9" x14ac:dyDescent="0.35">
      <c r="A138">
        <v>21</v>
      </c>
      <c r="B138">
        <v>9</v>
      </c>
      <c r="C138">
        <v>1</v>
      </c>
      <c r="D138" s="1">
        <v>42005</v>
      </c>
      <c r="E138">
        <v>20.75</v>
      </c>
      <c r="F138">
        <v>20.75</v>
      </c>
      <c r="G138" t="s">
        <v>13</v>
      </c>
      <c r="H138" t="s">
        <v>16</v>
      </c>
      <c r="I138" t="s">
        <v>28</v>
      </c>
    </row>
    <row r="139" spans="1:9" x14ac:dyDescent="0.35">
      <c r="A139">
        <v>120</v>
      </c>
      <c r="B139">
        <v>48</v>
      </c>
      <c r="C139">
        <v>1</v>
      </c>
      <c r="D139" s="1">
        <v>42005</v>
      </c>
      <c r="E139">
        <v>20.75</v>
      </c>
      <c r="F139">
        <v>20.75</v>
      </c>
      <c r="G139" t="s">
        <v>13</v>
      </c>
      <c r="H139" t="s">
        <v>16</v>
      </c>
      <c r="I139" t="s">
        <v>28</v>
      </c>
    </row>
    <row r="140" spans="1:9" x14ac:dyDescent="0.35">
      <c r="A140">
        <v>127</v>
      </c>
      <c r="B140">
        <v>52</v>
      </c>
      <c r="C140">
        <v>1</v>
      </c>
      <c r="D140" s="1">
        <v>42005</v>
      </c>
      <c r="E140">
        <v>20.75</v>
      </c>
      <c r="F140">
        <v>20.75</v>
      </c>
      <c r="G140" t="s">
        <v>13</v>
      </c>
      <c r="H140" t="s">
        <v>16</v>
      </c>
      <c r="I140" t="s">
        <v>28</v>
      </c>
    </row>
    <row r="141" spans="1:9" x14ac:dyDescent="0.35">
      <c r="A141">
        <v>133</v>
      </c>
      <c r="B141">
        <v>55</v>
      </c>
      <c r="C141">
        <v>1</v>
      </c>
      <c r="D141" s="1">
        <v>42005</v>
      </c>
      <c r="E141">
        <v>20.75</v>
      </c>
      <c r="F141">
        <v>20.75</v>
      </c>
      <c r="G141" t="s">
        <v>13</v>
      </c>
      <c r="H141" t="s">
        <v>16</v>
      </c>
      <c r="I141" t="s">
        <v>28</v>
      </c>
    </row>
    <row r="142" spans="1:9" x14ac:dyDescent="0.35">
      <c r="A142">
        <v>153</v>
      </c>
      <c r="B142">
        <v>65</v>
      </c>
      <c r="C142">
        <v>1</v>
      </c>
      <c r="D142" s="1">
        <v>42005</v>
      </c>
      <c r="E142">
        <v>12.5</v>
      </c>
      <c r="F142">
        <v>12.5</v>
      </c>
      <c r="G142" t="s">
        <v>22</v>
      </c>
      <c r="H142" t="s">
        <v>16</v>
      </c>
      <c r="I142" t="s">
        <v>28</v>
      </c>
    </row>
    <row r="143" spans="1:9" x14ac:dyDescent="0.35">
      <c r="A143">
        <v>52</v>
      </c>
      <c r="B143">
        <v>17</v>
      </c>
      <c r="C143">
        <v>1</v>
      </c>
      <c r="D143" s="1">
        <v>42005</v>
      </c>
      <c r="E143">
        <v>20.25</v>
      </c>
      <c r="F143">
        <v>20.25</v>
      </c>
      <c r="G143" t="s">
        <v>13</v>
      </c>
      <c r="H143" t="s">
        <v>14</v>
      </c>
      <c r="I143" t="s">
        <v>43</v>
      </c>
    </row>
    <row r="144" spans="1:9" x14ac:dyDescent="0.35">
      <c r="A144">
        <v>73</v>
      </c>
      <c r="B144">
        <v>27</v>
      </c>
      <c r="C144">
        <v>1</v>
      </c>
      <c r="D144" s="1">
        <v>42005</v>
      </c>
      <c r="E144">
        <v>20.25</v>
      </c>
      <c r="F144">
        <v>20.25</v>
      </c>
      <c r="G144" t="s">
        <v>13</v>
      </c>
      <c r="H144" t="s">
        <v>14</v>
      </c>
      <c r="I144" t="s">
        <v>43</v>
      </c>
    </row>
    <row r="145" spans="1:9" x14ac:dyDescent="0.35">
      <c r="A145">
        <v>22</v>
      </c>
      <c r="B145">
        <v>9</v>
      </c>
      <c r="C145">
        <v>1</v>
      </c>
      <c r="D145" s="1">
        <v>42005</v>
      </c>
      <c r="E145">
        <v>20.75</v>
      </c>
      <c r="F145">
        <v>20.75</v>
      </c>
      <c r="G145" t="s">
        <v>13</v>
      </c>
      <c r="H145" t="s">
        <v>14</v>
      </c>
      <c r="I145" t="s">
        <v>29</v>
      </c>
    </row>
    <row r="146" spans="1:9" x14ac:dyDescent="0.35">
      <c r="A146">
        <v>108</v>
      </c>
      <c r="B146">
        <v>44</v>
      </c>
      <c r="C146">
        <v>1</v>
      </c>
      <c r="D146" s="1">
        <v>42005</v>
      </c>
      <c r="E146">
        <v>12.5</v>
      </c>
      <c r="F146">
        <v>12.5</v>
      </c>
      <c r="G146" t="s">
        <v>22</v>
      </c>
      <c r="H146" t="s">
        <v>14</v>
      </c>
      <c r="I146" t="s">
        <v>29</v>
      </c>
    </row>
    <row r="147" spans="1:9" x14ac:dyDescent="0.35">
      <c r="A147">
        <v>129</v>
      </c>
      <c r="B147">
        <v>53</v>
      </c>
      <c r="C147">
        <v>1</v>
      </c>
      <c r="D147" s="1">
        <v>42005</v>
      </c>
      <c r="E147">
        <v>16.5</v>
      </c>
      <c r="F147">
        <v>16.5</v>
      </c>
      <c r="G147" t="s">
        <v>9</v>
      </c>
      <c r="H147" t="s">
        <v>16</v>
      </c>
      <c r="I147" t="s">
        <v>25</v>
      </c>
    </row>
    <row r="148" spans="1:9" x14ac:dyDescent="0.35">
      <c r="A148">
        <v>148</v>
      </c>
      <c r="B148">
        <v>62</v>
      </c>
      <c r="C148">
        <v>1</v>
      </c>
      <c r="D148" s="1">
        <v>42005</v>
      </c>
      <c r="E148">
        <v>16.5</v>
      </c>
      <c r="F148">
        <v>16.5</v>
      </c>
      <c r="G148" t="s">
        <v>9</v>
      </c>
      <c r="H148" t="s">
        <v>16</v>
      </c>
      <c r="I148" t="s">
        <v>25</v>
      </c>
    </row>
    <row r="149" spans="1:9" x14ac:dyDescent="0.35">
      <c r="A149">
        <v>154</v>
      </c>
      <c r="B149">
        <v>65</v>
      </c>
      <c r="C149">
        <v>1</v>
      </c>
      <c r="D149" s="1">
        <v>42005</v>
      </c>
      <c r="E149">
        <v>16.5</v>
      </c>
      <c r="F149">
        <v>16.5</v>
      </c>
      <c r="G149" t="s">
        <v>9</v>
      </c>
      <c r="H149" t="s">
        <v>16</v>
      </c>
      <c r="I149" t="s">
        <v>25</v>
      </c>
    </row>
    <row r="150" spans="1:9" x14ac:dyDescent="0.35">
      <c r="A150">
        <v>13</v>
      </c>
      <c r="B150">
        <v>7</v>
      </c>
      <c r="C150">
        <v>1</v>
      </c>
      <c r="D150" s="1">
        <v>42005</v>
      </c>
      <c r="E150">
        <v>12.5</v>
      </c>
      <c r="F150">
        <v>12.5</v>
      </c>
      <c r="G150" t="s">
        <v>22</v>
      </c>
      <c r="H150" t="s">
        <v>16</v>
      </c>
      <c r="I150" t="s">
        <v>25</v>
      </c>
    </row>
    <row r="151" spans="1:9" x14ac:dyDescent="0.35">
      <c r="A151">
        <v>14</v>
      </c>
      <c r="B151">
        <v>8</v>
      </c>
      <c r="C151">
        <v>1</v>
      </c>
      <c r="D151" s="1">
        <v>42005</v>
      </c>
      <c r="E151">
        <v>12.5</v>
      </c>
      <c r="F151">
        <v>12.5</v>
      </c>
      <c r="G151" t="s">
        <v>22</v>
      </c>
      <c r="H151" t="s">
        <v>16</v>
      </c>
      <c r="I151" t="s">
        <v>25</v>
      </c>
    </row>
    <row r="152" spans="1:9" x14ac:dyDescent="0.35">
      <c r="A152">
        <v>6</v>
      </c>
      <c r="B152">
        <v>2</v>
      </c>
      <c r="C152">
        <v>1</v>
      </c>
      <c r="D152" s="1">
        <v>42005</v>
      </c>
      <c r="E152">
        <v>20.75</v>
      </c>
      <c r="F152">
        <v>20.75</v>
      </c>
      <c r="G152" t="s">
        <v>13</v>
      </c>
      <c r="H152" t="s">
        <v>19</v>
      </c>
      <c r="I152" t="s">
        <v>20</v>
      </c>
    </row>
    <row r="153" spans="1:9" x14ac:dyDescent="0.35">
      <c r="A153">
        <v>42</v>
      </c>
      <c r="B153">
        <v>16</v>
      </c>
      <c r="C153">
        <v>1</v>
      </c>
      <c r="D153" s="1">
        <v>42005</v>
      </c>
      <c r="E153">
        <v>20.75</v>
      </c>
      <c r="F153">
        <v>20.75</v>
      </c>
      <c r="G153" t="s">
        <v>13</v>
      </c>
      <c r="H153" t="s">
        <v>19</v>
      </c>
      <c r="I153" t="s">
        <v>20</v>
      </c>
    </row>
    <row r="154" spans="1:9" x14ac:dyDescent="0.35">
      <c r="A154">
        <v>68</v>
      </c>
      <c r="B154">
        <v>25</v>
      </c>
      <c r="C154">
        <v>1</v>
      </c>
      <c r="D154" s="1">
        <v>42005</v>
      </c>
      <c r="E154">
        <v>20.75</v>
      </c>
      <c r="F154">
        <v>20.75</v>
      </c>
      <c r="G154" t="s">
        <v>13</v>
      </c>
      <c r="H154" t="s">
        <v>19</v>
      </c>
      <c r="I154" t="s">
        <v>20</v>
      </c>
    </row>
    <row r="155" spans="1:9" x14ac:dyDescent="0.35">
      <c r="A155">
        <v>76</v>
      </c>
      <c r="B155">
        <v>30</v>
      </c>
      <c r="C155">
        <v>1</v>
      </c>
      <c r="D155" s="1">
        <v>42005</v>
      </c>
      <c r="E155">
        <v>20.75</v>
      </c>
      <c r="F155">
        <v>20.75</v>
      </c>
      <c r="G155" t="s">
        <v>13</v>
      </c>
      <c r="H155" t="s">
        <v>19</v>
      </c>
      <c r="I155" t="s">
        <v>20</v>
      </c>
    </row>
    <row r="156" spans="1:9" x14ac:dyDescent="0.35">
      <c r="A156">
        <v>89</v>
      </c>
      <c r="B156">
        <v>35</v>
      </c>
      <c r="C156">
        <v>1</v>
      </c>
      <c r="D156" s="1">
        <v>42005</v>
      </c>
      <c r="E156">
        <v>20.75</v>
      </c>
      <c r="F156">
        <v>20.75</v>
      </c>
      <c r="G156" t="s">
        <v>13</v>
      </c>
      <c r="H156" t="s">
        <v>19</v>
      </c>
      <c r="I156" t="s">
        <v>20</v>
      </c>
    </row>
    <row r="157" spans="1:9" x14ac:dyDescent="0.35">
      <c r="A157">
        <v>131</v>
      </c>
      <c r="B157">
        <v>54</v>
      </c>
      <c r="C157">
        <v>1</v>
      </c>
      <c r="D157" s="1">
        <v>42005</v>
      </c>
      <c r="E157">
        <v>20.75</v>
      </c>
      <c r="F157">
        <v>20.75</v>
      </c>
      <c r="G157" t="s">
        <v>13</v>
      </c>
      <c r="H157" t="s">
        <v>19</v>
      </c>
      <c r="I157" t="s">
        <v>20</v>
      </c>
    </row>
    <row r="158" spans="1:9" x14ac:dyDescent="0.35">
      <c r="A158">
        <v>111</v>
      </c>
      <c r="B158">
        <v>45</v>
      </c>
      <c r="C158">
        <v>1</v>
      </c>
      <c r="D158" s="1">
        <v>42005</v>
      </c>
      <c r="E158">
        <v>16.75</v>
      </c>
      <c r="F158">
        <v>16.75</v>
      </c>
      <c r="G158" t="s">
        <v>9</v>
      </c>
      <c r="H158" t="s">
        <v>19</v>
      </c>
      <c r="I158" t="s">
        <v>20</v>
      </c>
    </row>
    <row r="159" spans="1:9" x14ac:dyDescent="0.35">
      <c r="A159">
        <v>114</v>
      </c>
      <c r="B159">
        <v>46</v>
      </c>
      <c r="C159">
        <v>1</v>
      </c>
      <c r="D159" s="1">
        <v>42005</v>
      </c>
      <c r="E159">
        <v>16.75</v>
      </c>
      <c r="F159">
        <v>16.75</v>
      </c>
      <c r="G159" t="s">
        <v>9</v>
      </c>
      <c r="H159" t="s">
        <v>19</v>
      </c>
      <c r="I159" t="s">
        <v>20</v>
      </c>
    </row>
    <row r="160" spans="1:9" x14ac:dyDescent="0.35">
      <c r="A160">
        <v>70</v>
      </c>
      <c r="B160">
        <v>26</v>
      </c>
      <c r="C160">
        <v>1</v>
      </c>
      <c r="D160" s="1">
        <v>42005</v>
      </c>
      <c r="E160">
        <v>20.25</v>
      </c>
      <c r="F160">
        <v>20.25</v>
      </c>
      <c r="G160" t="s">
        <v>13</v>
      </c>
      <c r="H160" t="s">
        <v>14</v>
      </c>
      <c r="I160" t="s">
        <v>30</v>
      </c>
    </row>
    <row r="161" spans="1:9" x14ac:dyDescent="0.35">
      <c r="A161">
        <v>23</v>
      </c>
      <c r="B161">
        <v>9</v>
      </c>
      <c r="C161">
        <v>1</v>
      </c>
      <c r="D161" s="1">
        <v>42005</v>
      </c>
      <c r="E161">
        <v>12</v>
      </c>
      <c r="F161">
        <v>12</v>
      </c>
      <c r="G161" t="s">
        <v>22</v>
      </c>
      <c r="H161" t="s">
        <v>14</v>
      </c>
      <c r="I161" t="s">
        <v>30</v>
      </c>
    </row>
    <row r="162" spans="1:9" x14ac:dyDescent="0.35">
      <c r="A162">
        <v>116</v>
      </c>
      <c r="B162">
        <v>47</v>
      </c>
      <c r="C162">
        <v>1</v>
      </c>
      <c r="D162" s="1">
        <v>42005</v>
      </c>
      <c r="E162">
        <v>12</v>
      </c>
      <c r="F162">
        <v>12</v>
      </c>
      <c r="G162" t="s">
        <v>22</v>
      </c>
      <c r="H162" t="s">
        <v>14</v>
      </c>
      <c r="I162" t="s">
        <v>30</v>
      </c>
    </row>
    <row r="163" spans="1:9" x14ac:dyDescent="0.35">
      <c r="A163">
        <v>313</v>
      </c>
      <c r="B163">
        <v>133</v>
      </c>
      <c r="C163">
        <v>1</v>
      </c>
      <c r="D163" s="1">
        <v>42036</v>
      </c>
      <c r="E163">
        <v>20.75</v>
      </c>
      <c r="F163">
        <v>20.75</v>
      </c>
      <c r="G163" t="s">
        <v>13</v>
      </c>
      <c r="H163" t="s">
        <v>19</v>
      </c>
      <c r="I163" t="s">
        <v>23</v>
      </c>
    </row>
    <row r="164" spans="1:9" x14ac:dyDescent="0.35">
      <c r="A164">
        <v>212</v>
      </c>
      <c r="B164">
        <v>91</v>
      </c>
      <c r="C164">
        <v>2</v>
      </c>
      <c r="D164" s="1">
        <v>42036</v>
      </c>
      <c r="E164">
        <v>20.75</v>
      </c>
      <c r="F164">
        <v>41.5</v>
      </c>
      <c r="G164" t="s">
        <v>13</v>
      </c>
      <c r="H164" t="s">
        <v>19</v>
      </c>
      <c r="I164" t="s">
        <v>23</v>
      </c>
    </row>
    <row r="165" spans="1:9" x14ac:dyDescent="0.35">
      <c r="A165">
        <v>178</v>
      </c>
      <c r="B165">
        <v>77</v>
      </c>
      <c r="C165">
        <v>1</v>
      </c>
      <c r="D165" s="1">
        <v>42036</v>
      </c>
      <c r="E165">
        <v>16.75</v>
      </c>
      <c r="F165">
        <v>16.75</v>
      </c>
      <c r="G165" t="s">
        <v>9</v>
      </c>
      <c r="H165" t="s">
        <v>19</v>
      </c>
      <c r="I165" t="s">
        <v>23</v>
      </c>
    </row>
    <row r="166" spans="1:9" x14ac:dyDescent="0.35">
      <c r="A166">
        <v>215</v>
      </c>
      <c r="B166">
        <v>92</v>
      </c>
      <c r="C166">
        <v>1</v>
      </c>
      <c r="D166" s="1">
        <v>42036</v>
      </c>
      <c r="E166">
        <v>16.75</v>
      </c>
      <c r="F166">
        <v>16.75</v>
      </c>
      <c r="G166" t="s">
        <v>9</v>
      </c>
      <c r="H166" t="s">
        <v>19</v>
      </c>
      <c r="I166" t="s">
        <v>23</v>
      </c>
    </row>
    <row r="167" spans="1:9" x14ac:dyDescent="0.35">
      <c r="A167">
        <v>242</v>
      </c>
      <c r="B167">
        <v>104</v>
      </c>
      <c r="C167">
        <v>1</v>
      </c>
      <c r="D167" s="1">
        <v>42036</v>
      </c>
      <c r="E167">
        <v>16.75</v>
      </c>
      <c r="F167">
        <v>16.75</v>
      </c>
      <c r="G167" t="s">
        <v>9</v>
      </c>
      <c r="H167" t="s">
        <v>19</v>
      </c>
      <c r="I167" t="s">
        <v>23</v>
      </c>
    </row>
    <row r="168" spans="1:9" x14ac:dyDescent="0.35">
      <c r="A168">
        <v>288</v>
      </c>
      <c r="B168">
        <v>121</v>
      </c>
      <c r="C168">
        <v>1</v>
      </c>
      <c r="D168" s="1">
        <v>42036</v>
      </c>
      <c r="E168">
        <v>16.75</v>
      </c>
      <c r="F168">
        <v>16.75</v>
      </c>
      <c r="G168" t="s">
        <v>9</v>
      </c>
      <c r="H168" t="s">
        <v>19</v>
      </c>
      <c r="I168" t="s">
        <v>23</v>
      </c>
    </row>
    <row r="169" spans="1:9" x14ac:dyDescent="0.35">
      <c r="A169">
        <v>239</v>
      </c>
      <c r="B169">
        <v>102</v>
      </c>
      <c r="C169">
        <v>1</v>
      </c>
      <c r="D169" s="1">
        <v>42036</v>
      </c>
      <c r="E169">
        <v>12.75</v>
      </c>
      <c r="F169">
        <v>12.75</v>
      </c>
      <c r="G169" t="s">
        <v>22</v>
      </c>
      <c r="H169" t="s">
        <v>19</v>
      </c>
      <c r="I169" t="s">
        <v>23</v>
      </c>
    </row>
    <row r="170" spans="1:9" x14ac:dyDescent="0.35">
      <c r="A170">
        <v>294</v>
      </c>
      <c r="B170">
        <v>124</v>
      </c>
      <c r="C170">
        <v>1</v>
      </c>
      <c r="D170" s="1">
        <v>42036</v>
      </c>
      <c r="E170">
        <v>12.75</v>
      </c>
      <c r="F170">
        <v>12.75</v>
      </c>
      <c r="G170" t="s">
        <v>22</v>
      </c>
      <c r="H170" t="s">
        <v>19</v>
      </c>
      <c r="I170" t="s">
        <v>23</v>
      </c>
    </row>
    <row r="171" spans="1:9" x14ac:dyDescent="0.35">
      <c r="A171">
        <v>174</v>
      </c>
      <c r="B171">
        <v>76</v>
      </c>
      <c r="C171">
        <v>1</v>
      </c>
      <c r="D171" s="1">
        <v>42036</v>
      </c>
      <c r="E171">
        <v>12</v>
      </c>
      <c r="F171">
        <v>12</v>
      </c>
      <c r="G171" t="s">
        <v>22</v>
      </c>
      <c r="H171" t="s">
        <v>10</v>
      </c>
      <c r="I171" t="s">
        <v>35</v>
      </c>
    </row>
    <row r="172" spans="1:9" x14ac:dyDescent="0.35">
      <c r="A172">
        <v>180</v>
      </c>
      <c r="B172">
        <v>78</v>
      </c>
      <c r="C172">
        <v>1</v>
      </c>
      <c r="D172" s="1">
        <v>42036</v>
      </c>
      <c r="E172">
        <v>12</v>
      </c>
      <c r="F172">
        <v>12</v>
      </c>
      <c r="G172" t="s">
        <v>22</v>
      </c>
      <c r="H172" t="s">
        <v>10</v>
      </c>
      <c r="I172" t="s">
        <v>35</v>
      </c>
    </row>
    <row r="173" spans="1:9" x14ac:dyDescent="0.35">
      <c r="A173">
        <v>192</v>
      </c>
      <c r="B173">
        <v>82</v>
      </c>
      <c r="C173">
        <v>1</v>
      </c>
      <c r="D173" s="1">
        <v>42036</v>
      </c>
      <c r="E173">
        <v>12</v>
      </c>
      <c r="F173">
        <v>12</v>
      </c>
      <c r="G173" t="s">
        <v>22</v>
      </c>
      <c r="H173" t="s">
        <v>10</v>
      </c>
      <c r="I173" t="s">
        <v>35</v>
      </c>
    </row>
    <row r="174" spans="1:9" x14ac:dyDescent="0.35">
      <c r="A174">
        <v>230</v>
      </c>
      <c r="B174">
        <v>97</v>
      </c>
      <c r="C174">
        <v>1</v>
      </c>
      <c r="D174" s="1">
        <v>42036</v>
      </c>
      <c r="E174">
        <v>12</v>
      </c>
      <c r="F174">
        <v>12</v>
      </c>
      <c r="G174" t="s">
        <v>22</v>
      </c>
      <c r="H174" t="s">
        <v>10</v>
      </c>
      <c r="I174" t="s">
        <v>35</v>
      </c>
    </row>
    <row r="175" spans="1:9" x14ac:dyDescent="0.35">
      <c r="A175">
        <v>262</v>
      </c>
      <c r="B175">
        <v>110</v>
      </c>
      <c r="C175">
        <v>1</v>
      </c>
      <c r="D175" s="1">
        <v>42036</v>
      </c>
      <c r="E175">
        <v>12</v>
      </c>
      <c r="F175">
        <v>12</v>
      </c>
      <c r="G175" t="s">
        <v>22</v>
      </c>
      <c r="H175" t="s">
        <v>10</v>
      </c>
      <c r="I175" t="s">
        <v>35</v>
      </c>
    </row>
    <row r="176" spans="1:9" x14ac:dyDescent="0.35">
      <c r="A176">
        <v>276</v>
      </c>
      <c r="B176">
        <v>115</v>
      </c>
      <c r="C176">
        <v>1</v>
      </c>
      <c r="D176" s="1">
        <v>42036</v>
      </c>
      <c r="E176">
        <v>12</v>
      </c>
      <c r="F176">
        <v>12</v>
      </c>
      <c r="G176" t="s">
        <v>22</v>
      </c>
      <c r="H176" t="s">
        <v>10</v>
      </c>
      <c r="I176" t="s">
        <v>35</v>
      </c>
    </row>
    <row r="177" spans="1:9" x14ac:dyDescent="0.35">
      <c r="A177">
        <v>302</v>
      </c>
      <c r="B177">
        <v>129</v>
      </c>
      <c r="C177">
        <v>1</v>
      </c>
      <c r="D177" s="1">
        <v>42036</v>
      </c>
      <c r="E177">
        <v>12</v>
      </c>
      <c r="F177">
        <v>12</v>
      </c>
      <c r="G177" t="s">
        <v>22</v>
      </c>
      <c r="H177" t="s">
        <v>10</v>
      </c>
      <c r="I177" t="s">
        <v>35</v>
      </c>
    </row>
    <row r="178" spans="1:9" x14ac:dyDescent="0.35">
      <c r="A178">
        <v>316</v>
      </c>
      <c r="B178">
        <v>134</v>
      </c>
      <c r="C178">
        <v>1</v>
      </c>
      <c r="D178" s="1">
        <v>42036</v>
      </c>
      <c r="E178">
        <v>12</v>
      </c>
      <c r="F178">
        <v>12</v>
      </c>
      <c r="G178" t="s">
        <v>22</v>
      </c>
      <c r="H178" t="s">
        <v>10</v>
      </c>
      <c r="I178" t="s">
        <v>35</v>
      </c>
    </row>
    <row r="179" spans="1:9" x14ac:dyDescent="0.35">
      <c r="A179">
        <v>235</v>
      </c>
      <c r="B179">
        <v>101</v>
      </c>
      <c r="C179">
        <v>1</v>
      </c>
      <c r="D179" s="1">
        <v>42036</v>
      </c>
      <c r="E179">
        <v>20.75</v>
      </c>
      <c r="F179">
        <v>20.75</v>
      </c>
      <c r="G179" t="s">
        <v>13</v>
      </c>
      <c r="H179" t="s">
        <v>19</v>
      </c>
      <c r="I179" t="s">
        <v>32</v>
      </c>
    </row>
    <row r="180" spans="1:9" x14ac:dyDescent="0.35">
      <c r="A180">
        <v>251</v>
      </c>
      <c r="B180">
        <v>107</v>
      </c>
      <c r="C180">
        <v>1</v>
      </c>
      <c r="D180" s="1">
        <v>42036</v>
      </c>
      <c r="E180">
        <v>20.75</v>
      </c>
      <c r="F180">
        <v>20.75</v>
      </c>
      <c r="G180" t="s">
        <v>13</v>
      </c>
      <c r="H180" t="s">
        <v>19</v>
      </c>
      <c r="I180" t="s">
        <v>32</v>
      </c>
    </row>
    <row r="181" spans="1:9" x14ac:dyDescent="0.35">
      <c r="A181">
        <v>271</v>
      </c>
      <c r="B181">
        <v>113</v>
      </c>
      <c r="C181">
        <v>1</v>
      </c>
      <c r="D181" s="1">
        <v>42036</v>
      </c>
      <c r="E181">
        <v>20.75</v>
      </c>
      <c r="F181">
        <v>20.75</v>
      </c>
      <c r="G181" t="s">
        <v>13</v>
      </c>
      <c r="H181" t="s">
        <v>19</v>
      </c>
      <c r="I181" t="s">
        <v>32</v>
      </c>
    </row>
    <row r="182" spans="1:9" x14ac:dyDescent="0.35">
      <c r="A182">
        <v>193</v>
      </c>
      <c r="B182">
        <v>82</v>
      </c>
      <c r="C182">
        <v>1</v>
      </c>
      <c r="D182" s="1">
        <v>42036</v>
      </c>
      <c r="E182">
        <v>16.75</v>
      </c>
      <c r="F182">
        <v>16.75</v>
      </c>
      <c r="G182" t="s">
        <v>9</v>
      </c>
      <c r="H182" t="s">
        <v>19</v>
      </c>
      <c r="I182" t="s">
        <v>32</v>
      </c>
    </row>
    <row r="183" spans="1:9" x14ac:dyDescent="0.35">
      <c r="A183">
        <v>266</v>
      </c>
      <c r="B183">
        <v>111</v>
      </c>
      <c r="C183">
        <v>1</v>
      </c>
      <c r="D183" s="1">
        <v>42036</v>
      </c>
      <c r="E183">
        <v>16.75</v>
      </c>
      <c r="F183">
        <v>16.75</v>
      </c>
      <c r="G183" t="s">
        <v>9</v>
      </c>
      <c r="H183" t="s">
        <v>19</v>
      </c>
      <c r="I183" t="s">
        <v>32</v>
      </c>
    </row>
    <row r="184" spans="1:9" x14ac:dyDescent="0.35">
      <c r="A184">
        <v>243</v>
      </c>
      <c r="B184">
        <v>104</v>
      </c>
      <c r="C184">
        <v>1</v>
      </c>
      <c r="D184" s="1">
        <v>42036</v>
      </c>
      <c r="E184">
        <v>16.75</v>
      </c>
      <c r="F184">
        <v>16.75</v>
      </c>
      <c r="G184" t="s">
        <v>9</v>
      </c>
      <c r="H184" t="s">
        <v>19</v>
      </c>
      <c r="I184" t="s">
        <v>45</v>
      </c>
    </row>
    <row r="185" spans="1:9" x14ac:dyDescent="0.35">
      <c r="A185">
        <v>308</v>
      </c>
      <c r="B185">
        <v>131</v>
      </c>
      <c r="C185">
        <v>1</v>
      </c>
      <c r="D185" s="1">
        <v>42036</v>
      </c>
      <c r="E185">
        <v>20.75</v>
      </c>
      <c r="F185">
        <v>20.75</v>
      </c>
      <c r="G185" t="s">
        <v>13</v>
      </c>
      <c r="H185" t="s">
        <v>19</v>
      </c>
      <c r="I185" t="s">
        <v>34</v>
      </c>
    </row>
    <row r="186" spans="1:9" x14ac:dyDescent="0.35">
      <c r="A186">
        <v>213</v>
      </c>
      <c r="B186">
        <v>91</v>
      </c>
      <c r="C186">
        <v>1</v>
      </c>
      <c r="D186" s="1">
        <v>42036</v>
      </c>
      <c r="E186">
        <v>12.75</v>
      </c>
      <c r="F186">
        <v>12.75</v>
      </c>
      <c r="G186" t="s">
        <v>22</v>
      </c>
      <c r="H186" t="s">
        <v>19</v>
      </c>
      <c r="I186" t="s">
        <v>34</v>
      </c>
    </row>
    <row r="187" spans="1:9" x14ac:dyDescent="0.35">
      <c r="A187">
        <v>231</v>
      </c>
      <c r="B187">
        <v>98</v>
      </c>
      <c r="C187">
        <v>1</v>
      </c>
      <c r="D187" s="1">
        <v>42036</v>
      </c>
      <c r="E187">
        <v>20.5</v>
      </c>
      <c r="F187">
        <v>20.5</v>
      </c>
      <c r="G187" t="s">
        <v>13</v>
      </c>
      <c r="H187" t="s">
        <v>10</v>
      </c>
      <c r="I187" t="s">
        <v>12</v>
      </c>
    </row>
    <row r="188" spans="1:9" x14ac:dyDescent="0.35">
      <c r="A188">
        <v>255</v>
      </c>
      <c r="B188">
        <v>108</v>
      </c>
      <c r="C188">
        <v>1</v>
      </c>
      <c r="D188" s="1">
        <v>42036</v>
      </c>
      <c r="E188">
        <v>20.5</v>
      </c>
      <c r="F188">
        <v>20.5</v>
      </c>
      <c r="G188" t="s">
        <v>13</v>
      </c>
      <c r="H188" t="s">
        <v>10</v>
      </c>
      <c r="I188" t="s">
        <v>12</v>
      </c>
    </row>
    <row r="189" spans="1:9" x14ac:dyDescent="0.35">
      <c r="A189">
        <v>198</v>
      </c>
      <c r="B189">
        <v>85</v>
      </c>
      <c r="C189">
        <v>1</v>
      </c>
      <c r="D189" s="1">
        <v>42036</v>
      </c>
      <c r="E189">
        <v>16</v>
      </c>
      <c r="F189">
        <v>16</v>
      </c>
      <c r="G189" t="s">
        <v>9</v>
      </c>
      <c r="H189" t="s">
        <v>10</v>
      </c>
      <c r="I189" t="s">
        <v>12</v>
      </c>
    </row>
    <row r="190" spans="1:9" x14ac:dyDescent="0.35">
      <c r="A190">
        <v>181</v>
      </c>
      <c r="B190">
        <v>78</v>
      </c>
      <c r="C190">
        <v>1</v>
      </c>
      <c r="D190" s="1">
        <v>42036</v>
      </c>
      <c r="E190">
        <v>12</v>
      </c>
      <c r="F190">
        <v>12</v>
      </c>
      <c r="G190" t="s">
        <v>22</v>
      </c>
      <c r="H190" t="s">
        <v>10</v>
      </c>
      <c r="I190" t="s">
        <v>12</v>
      </c>
    </row>
    <row r="191" spans="1:9" x14ac:dyDescent="0.35">
      <c r="A191">
        <v>199</v>
      </c>
      <c r="B191">
        <v>85</v>
      </c>
      <c r="C191">
        <v>1</v>
      </c>
      <c r="D191" s="1">
        <v>42036</v>
      </c>
      <c r="E191">
        <v>12</v>
      </c>
      <c r="F191">
        <v>12</v>
      </c>
      <c r="G191" t="s">
        <v>22</v>
      </c>
      <c r="H191" t="s">
        <v>10</v>
      </c>
      <c r="I191" t="s">
        <v>12</v>
      </c>
    </row>
    <row r="192" spans="1:9" x14ac:dyDescent="0.35">
      <c r="A192">
        <v>285</v>
      </c>
      <c r="B192">
        <v>120</v>
      </c>
      <c r="C192">
        <v>1</v>
      </c>
      <c r="D192" s="1">
        <v>42036</v>
      </c>
      <c r="E192">
        <v>12</v>
      </c>
      <c r="F192">
        <v>12</v>
      </c>
      <c r="G192" t="s">
        <v>22</v>
      </c>
      <c r="H192" t="s">
        <v>10</v>
      </c>
      <c r="I192" t="s">
        <v>12</v>
      </c>
    </row>
    <row r="193" spans="1:9" x14ac:dyDescent="0.35">
      <c r="A193">
        <v>167</v>
      </c>
      <c r="B193">
        <v>74</v>
      </c>
      <c r="C193">
        <v>1</v>
      </c>
      <c r="D193" s="1">
        <v>42036</v>
      </c>
      <c r="E193">
        <v>18.5</v>
      </c>
      <c r="F193">
        <v>18.5</v>
      </c>
      <c r="G193" t="s">
        <v>13</v>
      </c>
      <c r="H193" t="s">
        <v>14</v>
      </c>
      <c r="I193" t="s">
        <v>15</v>
      </c>
    </row>
    <row r="194" spans="1:9" x14ac:dyDescent="0.35">
      <c r="A194">
        <v>207</v>
      </c>
      <c r="B194">
        <v>88</v>
      </c>
      <c r="C194">
        <v>1</v>
      </c>
      <c r="D194" s="1">
        <v>42036</v>
      </c>
      <c r="E194">
        <v>18.5</v>
      </c>
      <c r="F194">
        <v>18.5</v>
      </c>
      <c r="G194" t="s">
        <v>13</v>
      </c>
      <c r="H194" t="s">
        <v>14</v>
      </c>
      <c r="I194" t="s">
        <v>15</v>
      </c>
    </row>
    <row r="195" spans="1:9" x14ac:dyDescent="0.35">
      <c r="A195">
        <v>267</v>
      </c>
      <c r="B195">
        <v>111</v>
      </c>
      <c r="C195">
        <v>1</v>
      </c>
      <c r="D195" s="1">
        <v>42036</v>
      </c>
      <c r="E195">
        <v>18.5</v>
      </c>
      <c r="F195">
        <v>18.5</v>
      </c>
      <c r="G195" t="s">
        <v>13</v>
      </c>
      <c r="H195" t="s">
        <v>14</v>
      </c>
      <c r="I195" t="s">
        <v>15</v>
      </c>
    </row>
    <row r="196" spans="1:9" x14ac:dyDescent="0.35">
      <c r="A196">
        <v>279</v>
      </c>
      <c r="B196">
        <v>116</v>
      </c>
      <c r="C196">
        <v>1</v>
      </c>
      <c r="D196" s="1">
        <v>42036</v>
      </c>
      <c r="E196">
        <v>18.5</v>
      </c>
      <c r="F196">
        <v>18.5</v>
      </c>
      <c r="G196" t="s">
        <v>13</v>
      </c>
      <c r="H196" t="s">
        <v>14</v>
      </c>
      <c r="I196" t="s">
        <v>15</v>
      </c>
    </row>
    <row r="197" spans="1:9" x14ac:dyDescent="0.35">
      <c r="A197">
        <v>309</v>
      </c>
      <c r="B197">
        <v>131</v>
      </c>
      <c r="C197">
        <v>1</v>
      </c>
      <c r="D197" s="1">
        <v>42036</v>
      </c>
      <c r="E197">
        <v>18.5</v>
      </c>
      <c r="F197">
        <v>18.5</v>
      </c>
      <c r="G197" t="s">
        <v>13</v>
      </c>
      <c r="H197" t="s">
        <v>14</v>
      </c>
      <c r="I197" t="s">
        <v>15</v>
      </c>
    </row>
    <row r="198" spans="1:9" x14ac:dyDescent="0.35">
      <c r="A198">
        <v>320</v>
      </c>
      <c r="B198">
        <v>136</v>
      </c>
      <c r="C198">
        <v>1</v>
      </c>
      <c r="D198" s="1">
        <v>42036</v>
      </c>
      <c r="E198">
        <v>18.5</v>
      </c>
      <c r="F198">
        <v>18.5</v>
      </c>
      <c r="G198" t="s">
        <v>13</v>
      </c>
      <c r="H198" t="s">
        <v>14</v>
      </c>
      <c r="I198" t="s">
        <v>15</v>
      </c>
    </row>
    <row r="199" spans="1:9" x14ac:dyDescent="0.35">
      <c r="A199">
        <v>182</v>
      </c>
      <c r="B199">
        <v>78</v>
      </c>
      <c r="C199">
        <v>1</v>
      </c>
      <c r="D199" s="1">
        <v>42036</v>
      </c>
      <c r="E199">
        <v>17.95</v>
      </c>
      <c r="F199">
        <v>17.95</v>
      </c>
      <c r="G199" t="s">
        <v>13</v>
      </c>
      <c r="H199" t="s">
        <v>14</v>
      </c>
      <c r="I199" t="s">
        <v>37</v>
      </c>
    </row>
    <row r="200" spans="1:9" x14ac:dyDescent="0.35">
      <c r="A200">
        <v>289</v>
      </c>
      <c r="B200">
        <v>121</v>
      </c>
      <c r="C200">
        <v>1</v>
      </c>
      <c r="D200" s="1">
        <v>42036</v>
      </c>
      <c r="E200">
        <v>17.95</v>
      </c>
      <c r="F200">
        <v>17.95</v>
      </c>
      <c r="G200" t="s">
        <v>13</v>
      </c>
      <c r="H200" t="s">
        <v>14</v>
      </c>
      <c r="I200" t="s">
        <v>37</v>
      </c>
    </row>
    <row r="201" spans="1:9" x14ac:dyDescent="0.35">
      <c r="A201">
        <v>284</v>
      </c>
      <c r="B201">
        <v>119</v>
      </c>
      <c r="C201">
        <v>1</v>
      </c>
      <c r="D201" s="1">
        <v>42036</v>
      </c>
      <c r="E201">
        <v>14.75</v>
      </c>
      <c r="F201">
        <v>14.75</v>
      </c>
      <c r="G201" t="s">
        <v>9</v>
      </c>
      <c r="H201" t="s">
        <v>14</v>
      </c>
      <c r="I201" t="s">
        <v>37</v>
      </c>
    </row>
    <row r="202" spans="1:9" x14ac:dyDescent="0.35">
      <c r="A202">
        <v>201</v>
      </c>
      <c r="B202">
        <v>85</v>
      </c>
      <c r="C202">
        <v>1</v>
      </c>
      <c r="D202" s="1">
        <v>42036</v>
      </c>
      <c r="E202">
        <v>16</v>
      </c>
      <c r="F202">
        <v>16</v>
      </c>
      <c r="G202" t="s">
        <v>9</v>
      </c>
      <c r="H202" t="s">
        <v>10</v>
      </c>
      <c r="I202" t="s">
        <v>24</v>
      </c>
    </row>
    <row r="203" spans="1:9" x14ac:dyDescent="0.35">
      <c r="A203">
        <v>303</v>
      </c>
      <c r="B203">
        <v>129</v>
      </c>
      <c r="C203">
        <v>1</v>
      </c>
      <c r="D203" s="1">
        <v>42036</v>
      </c>
      <c r="E203">
        <v>16</v>
      </c>
      <c r="F203">
        <v>16</v>
      </c>
      <c r="G203" t="s">
        <v>9</v>
      </c>
      <c r="H203" t="s">
        <v>10</v>
      </c>
      <c r="I203" t="s">
        <v>24</v>
      </c>
    </row>
    <row r="204" spans="1:9" x14ac:dyDescent="0.35">
      <c r="A204">
        <v>223</v>
      </c>
      <c r="B204">
        <v>92</v>
      </c>
      <c r="C204">
        <v>2</v>
      </c>
      <c r="D204" s="1">
        <v>42036</v>
      </c>
      <c r="E204">
        <v>16</v>
      </c>
      <c r="F204">
        <v>32</v>
      </c>
      <c r="G204" t="s">
        <v>9</v>
      </c>
      <c r="H204" t="s">
        <v>10</v>
      </c>
      <c r="I204" t="s">
        <v>24</v>
      </c>
    </row>
    <row r="205" spans="1:9" x14ac:dyDescent="0.35">
      <c r="A205">
        <v>297</v>
      </c>
      <c r="B205">
        <v>124</v>
      </c>
      <c r="C205">
        <v>1</v>
      </c>
      <c r="D205" s="1">
        <v>42036</v>
      </c>
      <c r="E205">
        <v>12</v>
      </c>
      <c r="F205">
        <v>12</v>
      </c>
      <c r="G205" t="s">
        <v>22</v>
      </c>
      <c r="H205" t="s">
        <v>10</v>
      </c>
      <c r="I205" t="s">
        <v>24</v>
      </c>
    </row>
    <row r="206" spans="1:9" x14ac:dyDescent="0.35">
      <c r="A206">
        <v>315</v>
      </c>
      <c r="B206">
        <v>133</v>
      </c>
      <c r="C206">
        <v>1</v>
      </c>
      <c r="D206" s="1">
        <v>42036</v>
      </c>
      <c r="E206">
        <v>12</v>
      </c>
      <c r="F206">
        <v>12</v>
      </c>
      <c r="G206" t="s">
        <v>22</v>
      </c>
      <c r="H206" t="s">
        <v>10</v>
      </c>
      <c r="I206" t="s">
        <v>24</v>
      </c>
    </row>
    <row r="207" spans="1:9" x14ac:dyDescent="0.35">
      <c r="A207">
        <v>298</v>
      </c>
      <c r="B207">
        <v>125</v>
      </c>
      <c r="C207">
        <v>1</v>
      </c>
      <c r="D207" s="1">
        <v>42036</v>
      </c>
      <c r="E207">
        <v>25.5</v>
      </c>
      <c r="F207">
        <v>25.5</v>
      </c>
      <c r="G207" t="s">
        <v>47</v>
      </c>
      <c r="H207" t="s">
        <v>10</v>
      </c>
      <c r="I207" t="s">
        <v>24</v>
      </c>
    </row>
    <row r="208" spans="1:9" x14ac:dyDescent="0.35">
      <c r="A208">
        <v>310</v>
      </c>
      <c r="B208">
        <v>131</v>
      </c>
      <c r="C208">
        <v>1</v>
      </c>
      <c r="D208" s="1">
        <v>42036</v>
      </c>
      <c r="E208">
        <v>12</v>
      </c>
      <c r="F208">
        <v>12</v>
      </c>
      <c r="G208" t="s">
        <v>22</v>
      </c>
      <c r="H208" t="s">
        <v>14</v>
      </c>
      <c r="I208" t="s">
        <v>26</v>
      </c>
    </row>
    <row r="209" spans="1:9" x14ac:dyDescent="0.35">
      <c r="A209">
        <v>175</v>
      </c>
      <c r="B209">
        <v>76</v>
      </c>
      <c r="C209">
        <v>1</v>
      </c>
      <c r="D209" s="1">
        <v>42036</v>
      </c>
      <c r="E209">
        <v>16.5</v>
      </c>
      <c r="F209">
        <v>16.5</v>
      </c>
      <c r="G209" t="s">
        <v>13</v>
      </c>
      <c r="H209" t="s">
        <v>10</v>
      </c>
      <c r="I209" t="s">
        <v>11</v>
      </c>
    </row>
    <row r="210" spans="1:9" x14ac:dyDescent="0.35">
      <c r="A210">
        <v>202</v>
      </c>
      <c r="B210">
        <v>86</v>
      </c>
      <c r="C210">
        <v>1</v>
      </c>
      <c r="D210" s="1">
        <v>42036</v>
      </c>
      <c r="E210">
        <v>16.5</v>
      </c>
      <c r="F210">
        <v>16.5</v>
      </c>
      <c r="G210" t="s">
        <v>13</v>
      </c>
      <c r="H210" t="s">
        <v>10</v>
      </c>
      <c r="I210" t="s">
        <v>11</v>
      </c>
    </row>
    <row r="211" spans="1:9" x14ac:dyDescent="0.35">
      <c r="A211">
        <v>234</v>
      </c>
      <c r="B211">
        <v>100</v>
      </c>
      <c r="C211">
        <v>1</v>
      </c>
      <c r="D211" s="1">
        <v>42036</v>
      </c>
      <c r="E211">
        <v>16.5</v>
      </c>
      <c r="F211">
        <v>16.5</v>
      </c>
      <c r="G211" t="s">
        <v>13</v>
      </c>
      <c r="H211" t="s">
        <v>10</v>
      </c>
      <c r="I211" t="s">
        <v>11</v>
      </c>
    </row>
    <row r="212" spans="1:9" x14ac:dyDescent="0.35">
      <c r="A212">
        <v>256</v>
      </c>
      <c r="B212">
        <v>108</v>
      </c>
      <c r="C212">
        <v>1</v>
      </c>
      <c r="D212" s="1">
        <v>42036</v>
      </c>
      <c r="E212">
        <v>16.5</v>
      </c>
      <c r="F212">
        <v>16.5</v>
      </c>
      <c r="G212" t="s">
        <v>13</v>
      </c>
      <c r="H212" t="s">
        <v>10</v>
      </c>
      <c r="I212" t="s">
        <v>11</v>
      </c>
    </row>
    <row r="213" spans="1:9" x14ac:dyDescent="0.35">
      <c r="A213">
        <v>314</v>
      </c>
      <c r="B213">
        <v>133</v>
      </c>
      <c r="C213">
        <v>1</v>
      </c>
      <c r="D213" s="1">
        <v>42036</v>
      </c>
      <c r="E213">
        <v>16.5</v>
      </c>
      <c r="F213">
        <v>16.5</v>
      </c>
      <c r="G213" t="s">
        <v>13</v>
      </c>
      <c r="H213" t="s">
        <v>10</v>
      </c>
      <c r="I213" t="s">
        <v>11</v>
      </c>
    </row>
    <row r="214" spans="1:9" x14ac:dyDescent="0.35">
      <c r="A214">
        <v>179</v>
      </c>
      <c r="B214">
        <v>77</v>
      </c>
      <c r="C214">
        <v>1</v>
      </c>
      <c r="D214" s="1">
        <v>42036</v>
      </c>
      <c r="E214">
        <v>13.25</v>
      </c>
      <c r="F214">
        <v>13.25</v>
      </c>
      <c r="G214" t="s">
        <v>9</v>
      </c>
      <c r="H214" t="s">
        <v>10</v>
      </c>
      <c r="I214" t="s">
        <v>11</v>
      </c>
    </row>
    <row r="215" spans="1:9" x14ac:dyDescent="0.35">
      <c r="A215">
        <v>286</v>
      </c>
      <c r="B215">
        <v>120</v>
      </c>
      <c r="C215">
        <v>1</v>
      </c>
      <c r="D215" s="1">
        <v>42036</v>
      </c>
      <c r="E215">
        <v>10.5</v>
      </c>
      <c r="F215">
        <v>10.5</v>
      </c>
      <c r="G215" t="s">
        <v>22</v>
      </c>
      <c r="H215" t="s">
        <v>10</v>
      </c>
      <c r="I215" t="s">
        <v>11</v>
      </c>
    </row>
    <row r="216" spans="1:9" x14ac:dyDescent="0.35">
      <c r="A216">
        <v>304</v>
      </c>
      <c r="B216">
        <v>130</v>
      </c>
      <c r="C216">
        <v>1</v>
      </c>
      <c r="D216" s="1">
        <v>42036</v>
      </c>
      <c r="E216">
        <v>10.5</v>
      </c>
      <c r="F216">
        <v>10.5</v>
      </c>
      <c r="G216" t="s">
        <v>22</v>
      </c>
      <c r="H216" t="s">
        <v>10</v>
      </c>
      <c r="I216" t="s">
        <v>11</v>
      </c>
    </row>
    <row r="217" spans="1:9" x14ac:dyDescent="0.35">
      <c r="A217">
        <v>246</v>
      </c>
      <c r="B217">
        <v>105</v>
      </c>
      <c r="C217">
        <v>2</v>
      </c>
      <c r="D217" s="1">
        <v>42036</v>
      </c>
      <c r="E217">
        <v>10.5</v>
      </c>
      <c r="F217">
        <v>21</v>
      </c>
      <c r="G217" t="s">
        <v>22</v>
      </c>
      <c r="H217" t="s">
        <v>10</v>
      </c>
      <c r="I217" t="s">
        <v>11</v>
      </c>
    </row>
    <row r="218" spans="1:9" x14ac:dyDescent="0.35">
      <c r="A218">
        <v>186</v>
      </c>
      <c r="B218">
        <v>79</v>
      </c>
      <c r="C218">
        <v>1</v>
      </c>
      <c r="D218" s="1">
        <v>42036</v>
      </c>
      <c r="E218">
        <v>20.5</v>
      </c>
      <c r="F218">
        <v>20.5</v>
      </c>
      <c r="G218" t="s">
        <v>13</v>
      </c>
      <c r="H218" t="s">
        <v>10</v>
      </c>
      <c r="I218" t="s">
        <v>27</v>
      </c>
    </row>
    <row r="219" spans="1:9" x14ac:dyDescent="0.35">
      <c r="A219">
        <v>258</v>
      </c>
      <c r="B219">
        <v>109</v>
      </c>
      <c r="C219">
        <v>1</v>
      </c>
      <c r="D219" s="1">
        <v>42036</v>
      </c>
      <c r="E219">
        <v>20.5</v>
      </c>
      <c r="F219">
        <v>20.5</v>
      </c>
      <c r="G219" t="s">
        <v>13</v>
      </c>
      <c r="H219" t="s">
        <v>10</v>
      </c>
      <c r="I219" t="s">
        <v>27</v>
      </c>
    </row>
    <row r="220" spans="1:9" x14ac:dyDescent="0.35">
      <c r="A220">
        <v>305</v>
      </c>
      <c r="B220">
        <v>130</v>
      </c>
      <c r="C220">
        <v>1</v>
      </c>
      <c r="D220" s="1">
        <v>42036</v>
      </c>
      <c r="E220">
        <v>20.5</v>
      </c>
      <c r="F220">
        <v>20.5</v>
      </c>
      <c r="G220" t="s">
        <v>13</v>
      </c>
      <c r="H220" t="s">
        <v>10</v>
      </c>
      <c r="I220" t="s">
        <v>27</v>
      </c>
    </row>
    <row r="221" spans="1:9" x14ac:dyDescent="0.35">
      <c r="A221">
        <v>183</v>
      </c>
      <c r="B221">
        <v>78</v>
      </c>
      <c r="C221">
        <v>1</v>
      </c>
      <c r="D221" s="1">
        <v>42036</v>
      </c>
      <c r="E221">
        <v>16</v>
      </c>
      <c r="F221">
        <v>16</v>
      </c>
      <c r="G221" t="s">
        <v>9</v>
      </c>
      <c r="H221" t="s">
        <v>10</v>
      </c>
      <c r="I221" t="s">
        <v>27</v>
      </c>
    </row>
    <row r="222" spans="1:9" x14ac:dyDescent="0.35">
      <c r="A222">
        <v>203</v>
      </c>
      <c r="B222">
        <v>87</v>
      </c>
      <c r="C222">
        <v>1</v>
      </c>
      <c r="D222" s="1">
        <v>42036</v>
      </c>
      <c r="E222">
        <v>16</v>
      </c>
      <c r="F222">
        <v>16</v>
      </c>
      <c r="G222" t="s">
        <v>9</v>
      </c>
      <c r="H222" t="s">
        <v>10</v>
      </c>
      <c r="I222" t="s">
        <v>27</v>
      </c>
    </row>
    <row r="223" spans="1:9" x14ac:dyDescent="0.35">
      <c r="A223">
        <v>225</v>
      </c>
      <c r="B223">
        <v>94</v>
      </c>
      <c r="C223">
        <v>1</v>
      </c>
      <c r="D223" s="1">
        <v>42036</v>
      </c>
      <c r="E223">
        <v>16</v>
      </c>
      <c r="F223">
        <v>16</v>
      </c>
      <c r="G223" t="s">
        <v>9</v>
      </c>
      <c r="H223" t="s">
        <v>10</v>
      </c>
      <c r="I223" t="s">
        <v>27</v>
      </c>
    </row>
    <row r="224" spans="1:9" x14ac:dyDescent="0.35">
      <c r="A224">
        <v>293</v>
      </c>
      <c r="B224">
        <v>123</v>
      </c>
      <c r="C224">
        <v>1</v>
      </c>
      <c r="D224" s="1">
        <v>42036</v>
      </c>
      <c r="E224">
        <v>12</v>
      </c>
      <c r="F224">
        <v>12</v>
      </c>
      <c r="G224" t="s">
        <v>22</v>
      </c>
      <c r="H224" t="s">
        <v>10</v>
      </c>
      <c r="I224" t="s">
        <v>27</v>
      </c>
    </row>
    <row r="225" spans="1:9" x14ac:dyDescent="0.35">
      <c r="A225">
        <v>200</v>
      </c>
      <c r="B225">
        <v>85</v>
      </c>
      <c r="C225">
        <v>1</v>
      </c>
      <c r="D225" s="1">
        <v>42036</v>
      </c>
      <c r="E225">
        <v>20.75</v>
      </c>
      <c r="F225">
        <v>20.75</v>
      </c>
      <c r="G225" t="s">
        <v>13</v>
      </c>
      <c r="H225" t="s">
        <v>16</v>
      </c>
      <c r="I225" t="s">
        <v>17</v>
      </c>
    </row>
    <row r="226" spans="1:9" x14ac:dyDescent="0.35">
      <c r="A226">
        <v>216</v>
      </c>
      <c r="B226">
        <v>92</v>
      </c>
      <c r="C226">
        <v>1</v>
      </c>
      <c r="D226" s="1">
        <v>42036</v>
      </c>
      <c r="E226">
        <v>20.75</v>
      </c>
      <c r="F226">
        <v>20.75</v>
      </c>
      <c r="G226" t="s">
        <v>13</v>
      </c>
      <c r="H226" t="s">
        <v>16</v>
      </c>
      <c r="I226" t="s">
        <v>17</v>
      </c>
    </row>
    <row r="227" spans="1:9" x14ac:dyDescent="0.35">
      <c r="A227">
        <v>233</v>
      </c>
      <c r="B227">
        <v>99</v>
      </c>
      <c r="C227">
        <v>1</v>
      </c>
      <c r="D227" s="1">
        <v>42036</v>
      </c>
      <c r="E227">
        <v>20.75</v>
      </c>
      <c r="F227">
        <v>20.75</v>
      </c>
      <c r="G227" t="s">
        <v>13</v>
      </c>
      <c r="H227" t="s">
        <v>16</v>
      </c>
      <c r="I227" t="s">
        <v>17</v>
      </c>
    </row>
    <row r="228" spans="1:9" x14ac:dyDescent="0.35">
      <c r="A228">
        <v>259</v>
      </c>
      <c r="B228">
        <v>109</v>
      </c>
      <c r="C228">
        <v>1</v>
      </c>
      <c r="D228" s="1">
        <v>42036</v>
      </c>
      <c r="E228">
        <v>20.75</v>
      </c>
      <c r="F228">
        <v>20.75</v>
      </c>
      <c r="G228" t="s">
        <v>13</v>
      </c>
      <c r="H228" t="s">
        <v>16</v>
      </c>
      <c r="I228" t="s">
        <v>17</v>
      </c>
    </row>
    <row r="229" spans="1:9" x14ac:dyDescent="0.35">
      <c r="A229">
        <v>217</v>
      </c>
      <c r="B229">
        <v>92</v>
      </c>
      <c r="C229">
        <v>1</v>
      </c>
      <c r="D229" s="1">
        <v>42036</v>
      </c>
      <c r="E229">
        <v>16.5</v>
      </c>
      <c r="F229">
        <v>16.5</v>
      </c>
      <c r="G229" t="s">
        <v>9</v>
      </c>
      <c r="H229" t="s">
        <v>16</v>
      </c>
      <c r="I229" t="s">
        <v>17</v>
      </c>
    </row>
    <row r="230" spans="1:9" x14ac:dyDescent="0.35">
      <c r="A230">
        <v>252</v>
      </c>
      <c r="B230">
        <v>107</v>
      </c>
      <c r="C230">
        <v>1</v>
      </c>
      <c r="D230" s="1">
        <v>42036</v>
      </c>
      <c r="E230">
        <v>16.5</v>
      </c>
      <c r="F230">
        <v>16.5</v>
      </c>
      <c r="G230" t="s">
        <v>9</v>
      </c>
      <c r="H230" t="s">
        <v>16</v>
      </c>
      <c r="I230" t="s">
        <v>17</v>
      </c>
    </row>
    <row r="231" spans="1:9" x14ac:dyDescent="0.35">
      <c r="A231">
        <v>292</v>
      </c>
      <c r="B231">
        <v>122</v>
      </c>
      <c r="C231">
        <v>1</v>
      </c>
      <c r="D231" s="1">
        <v>42036</v>
      </c>
      <c r="E231">
        <v>16.5</v>
      </c>
      <c r="F231">
        <v>16.5</v>
      </c>
      <c r="G231" t="s">
        <v>9</v>
      </c>
      <c r="H231" t="s">
        <v>16</v>
      </c>
      <c r="I231" t="s">
        <v>17</v>
      </c>
    </row>
    <row r="232" spans="1:9" x14ac:dyDescent="0.35">
      <c r="A232">
        <v>171</v>
      </c>
      <c r="B232">
        <v>75</v>
      </c>
      <c r="C232">
        <v>1</v>
      </c>
      <c r="D232" s="1">
        <v>42036</v>
      </c>
      <c r="E232">
        <v>12.5</v>
      </c>
      <c r="F232">
        <v>12.5</v>
      </c>
      <c r="G232" t="s">
        <v>22</v>
      </c>
      <c r="H232" t="s">
        <v>16</v>
      </c>
      <c r="I232" t="s">
        <v>17</v>
      </c>
    </row>
    <row r="233" spans="1:9" x14ac:dyDescent="0.35">
      <c r="A233">
        <v>176</v>
      </c>
      <c r="B233">
        <v>76</v>
      </c>
      <c r="C233">
        <v>1</v>
      </c>
      <c r="D233" s="1">
        <v>42036</v>
      </c>
      <c r="E233">
        <v>21</v>
      </c>
      <c r="F233">
        <v>21</v>
      </c>
      <c r="G233" t="s">
        <v>13</v>
      </c>
      <c r="H233" t="s">
        <v>14</v>
      </c>
      <c r="I233" t="s">
        <v>40</v>
      </c>
    </row>
    <row r="234" spans="1:9" x14ac:dyDescent="0.35">
      <c r="A234">
        <v>244</v>
      </c>
      <c r="B234">
        <v>104</v>
      </c>
      <c r="C234">
        <v>1</v>
      </c>
      <c r="D234" s="1">
        <v>42036</v>
      </c>
      <c r="E234">
        <v>16.75</v>
      </c>
      <c r="F234">
        <v>16.75</v>
      </c>
      <c r="G234" t="s">
        <v>9</v>
      </c>
      <c r="H234" t="s">
        <v>14</v>
      </c>
      <c r="I234" t="s">
        <v>40</v>
      </c>
    </row>
    <row r="235" spans="1:9" x14ac:dyDescent="0.35">
      <c r="A235">
        <v>162</v>
      </c>
      <c r="B235">
        <v>70</v>
      </c>
      <c r="C235">
        <v>1</v>
      </c>
      <c r="D235" s="1">
        <v>42036</v>
      </c>
      <c r="E235">
        <v>12.75</v>
      </c>
      <c r="F235">
        <v>12.75</v>
      </c>
      <c r="G235" t="s">
        <v>22</v>
      </c>
      <c r="H235" t="s">
        <v>14</v>
      </c>
      <c r="I235" t="s">
        <v>40</v>
      </c>
    </row>
    <row r="236" spans="1:9" x14ac:dyDescent="0.35">
      <c r="A236">
        <v>218</v>
      </c>
      <c r="B236">
        <v>92</v>
      </c>
      <c r="C236">
        <v>1</v>
      </c>
      <c r="D236" s="1">
        <v>42036</v>
      </c>
      <c r="E236">
        <v>12.75</v>
      </c>
      <c r="F236">
        <v>12.75</v>
      </c>
      <c r="G236" t="s">
        <v>22</v>
      </c>
      <c r="H236" t="s">
        <v>14</v>
      </c>
      <c r="I236" t="s">
        <v>40</v>
      </c>
    </row>
    <row r="237" spans="1:9" x14ac:dyDescent="0.35">
      <c r="A237">
        <v>172</v>
      </c>
      <c r="B237">
        <v>75</v>
      </c>
      <c r="C237">
        <v>1</v>
      </c>
      <c r="D237" s="1">
        <v>42036</v>
      </c>
      <c r="E237">
        <v>20.25</v>
      </c>
      <c r="F237">
        <v>20.25</v>
      </c>
      <c r="G237" t="s">
        <v>13</v>
      </c>
      <c r="H237" t="s">
        <v>14</v>
      </c>
      <c r="I237" t="s">
        <v>41</v>
      </c>
    </row>
    <row r="238" spans="1:9" x14ac:dyDescent="0.35">
      <c r="A238">
        <v>168</v>
      </c>
      <c r="B238">
        <v>74</v>
      </c>
      <c r="C238">
        <v>1</v>
      </c>
      <c r="D238" s="1">
        <v>42036</v>
      </c>
      <c r="E238">
        <v>20.25</v>
      </c>
      <c r="F238">
        <v>20.25</v>
      </c>
      <c r="G238" t="s">
        <v>13</v>
      </c>
      <c r="H238" t="s">
        <v>14</v>
      </c>
      <c r="I238" t="s">
        <v>18</v>
      </c>
    </row>
    <row r="239" spans="1:9" x14ac:dyDescent="0.35">
      <c r="A239">
        <v>249</v>
      </c>
      <c r="B239">
        <v>106</v>
      </c>
      <c r="C239">
        <v>1</v>
      </c>
      <c r="D239" s="1">
        <v>42036</v>
      </c>
      <c r="E239">
        <v>20.25</v>
      </c>
      <c r="F239">
        <v>20.25</v>
      </c>
      <c r="G239" t="s">
        <v>13</v>
      </c>
      <c r="H239" t="s">
        <v>14</v>
      </c>
      <c r="I239" t="s">
        <v>18</v>
      </c>
    </row>
    <row r="240" spans="1:9" x14ac:dyDescent="0.35">
      <c r="A240">
        <v>272</v>
      </c>
      <c r="B240">
        <v>113</v>
      </c>
      <c r="C240">
        <v>1</v>
      </c>
      <c r="D240" s="1">
        <v>42036</v>
      </c>
      <c r="E240">
        <v>20.25</v>
      </c>
      <c r="F240">
        <v>20.25</v>
      </c>
      <c r="G240" t="s">
        <v>13</v>
      </c>
      <c r="H240" t="s">
        <v>14</v>
      </c>
      <c r="I240" t="s">
        <v>18</v>
      </c>
    </row>
    <row r="241" spans="1:9" x14ac:dyDescent="0.35">
      <c r="A241">
        <v>204</v>
      </c>
      <c r="B241">
        <v>87</v>
      </c>
      <c r="C241">
        <v>1</v>
      </c>
      <c r="D241" s="1">
        <v>42036</v>
      </c>
      <c r="E241">
        <v>16</v>
      </c>
      <c r="F241">
        <v>16</v>
      </c>
      <c r="G241" t="s">
        <v>9</v>
      </c>
      <c r="H241" t="s">
        <v>14</v>
      </c>
      <c r="I241" t="s">
        <v>18</v>
      </c>
    </row>
    <row r="242" spans="1:9" x14ac:dyDescent="0.35">
      <c r="A242">
        <v>306</v>
      </c>
      <c r="B242">
        <v>130</v>
      </c>
      <c r="C242">
        <v>1</v>
      </c>
      <c r="D242" s="1">
        <v>42036</v>
      </c>
      <c r="E242">
        <v>16</v>
      </c>
      <c r="F242">
        <v>16</v>
      </c>
      <c r="G242" t="s">
        <v>9</v>
      </c>
      <c r="H242" t="s">
        <v>14</v>
      </c>
      <c r="I242" t="s">
        <v>18</v>
      </c>
    </row>
    <row r="243" spans="1:9" x14ac:dyDescent="0.35">
      <c r="A243">
        <v>173</v>
      </c>
      <c r="B243">
        <v>75</v>
      </c>
      <c r="C243">
        <v>1</v>
      </c>
      <c r="D243" s="1">
        <v>42036</v>
      </c>
      <c r="E243">
        <v>20.5</v>
      </c>
      <c r="F243">
        <v>20.5</v>
      </c>
      <c r="G243" t="s">
        <v>13</v>
      </c>
      <c r="H243" t="s">
        <v>10</v>
      </c>
      <c r="I243" t="s">
        <v>38</v>
      </c>
    </row>
    <row r="244" spans="1:9" x14ac:dyDescent="0.35">
      <c r="A244">
        <v>232</v>
      </c>
      <c r="B244">
        <v>98</v>
      </c>
      <c r="C244">
        <v>1</v>
      </c>
      <c r="D244" s="1">
        <v>42036</v>
      </c>
      <c r="E244">
        <v>20.5</v>
      </c>
      <c r="F244">
        <v>20.5</v>
      </c>
      <c r="G244" t="s">
        <v>13</v>
      </c>
      <c r="H244" t="s">
        <v>10</v>
      </c>
      <c r="I244" t="s">
        <v>38</v>
      </c>
    </row>
    <row r="245" spans="1:9" x14ac:dyDescent="0.35">
      <c r="A245">
        <v>263</v>
      </c>
      <c r="B245">
        <v>110</v>
      </c>
      <c r="C245">
        <v>1</v>
      </c>
      <c r="D245" s="1">
        <v>42036</v>
      </c>
      <c r="E245">
        <v>20.5</v>
      </c>
      <c r="F245">
        <v>20.5</v>
      </c>
      <c r="G245" t="s">
        <v>13</v>
      </c>
      <c r="H245" t="s">
        <v>10</v>
      </c>
      <c r="I245" t="s">
        <v>38</v>
      </c>
    </row>
    <row r="246" spans="1:9" x14ac:dyDescent="0.35">
      <c r="A246">
        <v>277</v>
      </c>
      <c r="B246">
        <v>115</v>
      </c>
      <c r="C246">
        <v>1</v>
      </c>
      <c r="D246" s="1">
        <v>42036</v>
      </c>
      <c r="E246">
        <v>20.5</v>
      </c>
      <c r="F246">
        <v>20.5</v>
      </c>
      <c r="G246" t="s">
        <v>13</v>
      </c>
      <c r="H246" t="s">
        <v>10</v>
      </c>
      <c r="I246" t="s">
        <v>38</v>
      </c>
    </row>
    <row r="247" spans="1:9" x14ac:dyDescent="0.35">
      <c r="A247">
        <v>227</v>
      </c>
      <c r="B247">
        <v>95</v>
      </c>
      <c r="C247">
        <v>1</v>
      </c>
      <c r="D247" s="1">
        <v>42036</v>
      </c>
      <c r="E247">
        <v>12</v>
      </c>
      <c r="F247">
        <v>12</v>
      </c>
      <c r="G247" t="s">
        <v>22</v>
      </c>
      <c r="H247" t="s">
        <v>10</v>
      </c>
      <c r="I247" t="s">
        <v>38</v>
      </c>
    </row>
    <row r="248" spans="1:9" x14ac:dyDescent="0.35">
      <c r="A248">
        <v>229</v>
      </c>
      <c r="B248">
        <v>96</v>
      </c>
      <c r="C248">
        <v>1</v>
      </c>
      <c r="D248" s="1">
        <v>42036</v>
      </c>
      <c r="E248">
        <v>12</v>
      </c>
      <c r="F248">
        <v>12</v>
      </c>
      <c r="G248" t="s">
        <v>22</v>
      </c>
      <c r="H248" t="s">
        <v>10</v>
      </c>
      <c r="I248" t="s">
        <v>38</v>
      </c>
    </row>
    <row r="249" spans="1:9" x14ac:dyDescent="0.35">
      <c r="A249">
        <v>228</v>
      </c>
      <c r="B249">
        <v>95</v>
      </c>
      <c r="C249">
        <v>1</v>
      </c>
      <c r="D249" s="1">
        <v>42036</v>
      </c>
      <c r="E249">
        <v>20.75</v>
      </c>
      <c r="F249">
        <v>20.75</v>
      </c>
      <c r="G249" t="s">
        <v>13</v>
      </c>
      <c r="H249" t="s">
        <v>16</v>
      </c>
      <c r="I249" t="s">
        <v>42</v>
      </c>
    </row>
    <row r="250" spans="1:9" x14ac:dyDescent="0.35">
      <c r="A250">
        <v>220</v>
      </c>
      <c r="B250">
        <v>92</v>
      </c>
      <c r="C250">
        <v>1</v>
      </c>
      <c r="D250" s="1">
        <v>42036</v>
      </c>
      <c r="E250">
        <v>16.5</v>
      </c>
      <c r="F250">
        <v>16.5</v>
      </c>
      <c r="G250" t="s">
        <v>9</v>
      </c>
      <c r="H250" t="s">
        <v>16</v>
      </c>
      <c r="I250" t="s">
        <v>42</v>
      </c>
    </row>
    <row r="251" spans="1:9" x14ac:dyDescent="0.35">
      <c r="A251">
        <v>280</v>
      </c>
      <c r="B251">
        <v>117</v>
      </c>
      <c r="C251">
        <v>1</v>
      </c>
      <c r="D251" s="1">
        <v>42036</v>
      </c>
      <c r="E251">
        <v>16.5</v>
      </c>
      <c r="F251">
        <v>16.5</v>
      </c>
      <c r="G251" t="s">
        <v>9</v>
      </c>
      <c r="H251" t="s">
        <v>16</v>
      </c>
      <c r="I251" t="s">
        <v>42</v>
      </c>
    </row>
    <row r="252" spans="1:9" x14ac:dyDescent="0.35">
      <c r="A252">
        <v>321</v>
      </c>
      <c r="B252">
        <v>136</v>
      </c>
      <c r="C252">
        <v>1</v>
      </c>
      <c r="D252" s="1">
        <v>42036</v>
      </c>
      <c r="E252">
        <v>12.5</v>
      </c>
      <c r="F252">
        <v>12.5</v>
      </c>
      <c r="G252" t="s">
        <v>22</v>
      </c>
      <c r="H252" t="s">
        <v>16</v>
      </c>
      <c r="I252" t="s">
        <v>42</v>
      </c>
    </row>
    <row r="253" spans="1:9" x14ac:dyDescent="0.35">
      <c r="A253">
        <v>197</v>
      </c>
      <c r="B253">
        <v>84</v>
      </c>
      <c r="C253">
        <v>1</v>
      </c>
      <c r="D253" s="1">
        <v>42036</v>
      </c>
      <c r="E253">
        <v>15.25</v>
      </c>
      <c r="F253">
        <v>15.25</v>
      </c>
      <c r="G253" t="s">
        <v>13</v>
      </c>
      <c r="H253" t="s">
        <v>10</v>
      </c>
      <c r="I253" t="s">
        <v>33</v>
      </c>
    </row>
    <row r="254" spans="1:9" x14ac:dyDescent="0.35">
      <c r="A254">
        <v>236</v>
      </c>
      <c r="B254">
        <v>101</v>
      </c>
      <c r="C254">
        <v>1</v>
      </c>
      <c r="D254" s="1">
        <v>42036</v>
      </c>
      <c r="E254">
        <v>15.25</v>
      </c>
      <c r="F254">
        <v>15.25</v>
      </c>
      <c r="G254" t="s">
        <v>13</v>
      </c>
      <c r="H254" t="s">
        <v>10</v>
      </c>
      <c r="I254" t="s">
        <v>33</v>
      </c>
    </row>
    <row r="255" spans="1:9" x14ac:dyDescent="0.35">
      <c r="A255">
        <v>247</v>
      </c>
      <c r="B255">
        <v>105</v>
      </c>
      <c r="C255">
        <v>1</v>
      </c>
      <c r="D255" s="1">
        <v>42036</v>
      </c>
      <c r="E255">
        <v>15.25</v>
      </c>
      <c r="F255">
        <v>15.25</v>
      </c>
      <c r="G255" t="s">
        <v>13</v>
      </c>
      <c r="H255" t="s">
        <v>10</v>
      </c>
      <c r="I255" t="s">
        <v>33</v>
      </c>
    </row>
    <row r="256" spans="1:9" x14ac:dyDescent="0.35">
      <c r="A256">
        <v>274</v>
      </c>
      <c r="B256">
        <v>114</v>
      </c>
      <c r="C256">
        <v>1</v>
      </c>
      <c r="D256" s="1">
        <v>42036</v>
      </c>
      <c r="E256">
        <v>15.25</v>
      </c>
      <c r="F256">
        <v>15.25</v>
      </c>
      <c r="G256" t="s">
        <v>13</v>
      </c>
      <c r="H256" t="s">
        <v>10</v>
      </c>
      <c r="I256" t="s">
        <v>33</v>
      </c>
    </row>
    <row r="257" spans="1:9" x14ac:dyDescent="0.35">
      <c r="A257">
        <v>219</v>
      </c>
      <c r="B257">
        <v>92</v>
      </c>
      <c r="C257">
        <v>1</v>
      </c>
      <c r="D257" s="1">
        <v>42036</v>
      </c>
      <c r="E257">
        <v>12.5</v>
      </c>
      <c r="F257">
        <v>12.5</v>
      </c>
      <c r="G257" t="s">
        <v>9</v>
      </c>
      <c r="H257" t="s">
        <v>10</v>
      </c>
      <c r="I257" t="s">
        <v>33</v>
      </c>
    </row>
    <row r="258" spans="1:9" x14ac:dyDescent="0.35">
      <c r="A258">
        <v>260</v>
      </c>
      <c r="B258">
        <v>109</v>
      </c>
      <c r="C258">
        <v>1</v>
      </c>
      <c r="D258" s="1">
        <v>42036</v>
      </c>
      <c r="E258">
        <v>12.5</v>
      </c>
      <c r="F258">
        <v>12.5</v>
      </c>
      <c r="G258" t="s">
        <v>9</v>
      </c>
      <c r="H258" t="s">
        <v>10</v>
      </c>
      <c r="I258" t="s">
        <v>33</v>
      </c>
    </row>
    <row r="259" spans="1:9" x14ac:dyDescent="0.35">
      <c r="A259">
        <v>268</v>
      </c>
      <c r="B259">
        <v>111</v>
      </c>
      <c r="C259">
        <v>1</v>
      </c>
      <c r="D259" s="1">
        <v>42036</v>
      </c>
      <c r="E259">
        <v>12.5</v>
      </c>
      <c r="F259">
        <v>12.5</v>
      </c>
      <c r="G259" t="s">
        <v>9</v>
      </c>
      <c r="H259" t="s">
        <v>10</v>
      </c>
      <c r="I259" t="s">
        <v>33</v>
      </c>
    </row>
    <row r="260" spans="1:9" x14ac:dyDescent="0.35">
      <c r="A260">
        <v>300</v>
      </c>
      <c r="B260">
        <v>127</v>
      </c>
      <c r="C260">
        <v>1</v>
      </c>
      <c r="D260" s="1">
        <v>42036</v>
      </c>
      <c r="E260">
        <v>12.5</v>
      </c>
      <c r="F260">
        <v>12.5</v>
      </c>
      <c r="G260" t="s">
        <v>9</v>
      </c>
      <c r="H260" t="s">
        <v>10</v>
      </c>
      <c r="I260" t="s">
        <v>33</v>
      </c>
    </row>
    <row r="261" spans="1:9" x14ac:dyDescent="0.35">
      <c r="A261">
        <v>189</v>
      </c>
      <c r="B261">
        <v>80</v>
      </c>
      <c r="C261">
        <v>1</v>
      </c>
      <c r="D261" s="1">
        <v>42036</v>
      </c>
      <c r="E261">
        <v>9.75</v>
      </c>
      <c r="F261">
        <v>9.75</v>
      </c>
      <c r="G261" t="s">
        <v>22</v>
      </c>
      <c r="H261" t="s">
        <v>10</v>
      </c>
      <c r="I261" t="s">
        <v>33</v>
      </c>
    </row>
    <row r="262" spans="1:9" x14ac:dyDescent="0.35">
      <c r="A262">
        <v>214</v>
      </c>
      <c r="B262">
        <v>91</v>
      </c>
      <c r="C262">
        <v>1</v>
      </c>
      <c r="D262" s="1">
        <v>42036</v>
      </c>
      <c r="E262">
        <v>9.75</v>
      </c>
      <c r="F262">
        <v>9.75</v>
      </c>
      <c r="G262" t="s">
        <v>22</v>
      </c>
      <c r="H262" t="s">
        <v>10</v>
      </c>
      <c r="I262" t="s">
        <v>33</v>
      </c>
    </row>
    <row r="263" spans="1:9" x14ac:dyDescent="0.35">
      <c r="A263">
        <v>270</v>
      </c>
      <c r="B263">
        <v>112</v>
      </c>
      <c r="C263">
        <v>1</v>
      </c>
      <c r="D263" s="1">
        <v>42036</v>
      </c>
      <c r="E263">
        <v>9.75</v>
      </c>
      <c r="F263">
        <v>9.75</v>
      </c>
      <c r="G263" t="s">
        <v>22</v>
      </c>
      <c r="H263" t="s">
        <v>10</v>
      </c>
      <c r="I263" t="s">
        <v>33</v>
      </c>
    </row>
    <row r="264" spans="1:9" x14ac:dyDescent="0.35">
      <c r="A264">
        <v>312</v>
      </c>
      <c r="B264">
        <v>132</v>
      </c>
      <c r="C264">
        <v>1</v>
      </c>
      <c r="D264" s="1">
        <v>42036</v>
      </c>
      <c r="E264">
        <v>9.75</v>
      </c>
      <c r="F264">
        <v>9.75</v>
      </c>
      <c r="G264" t="s">
        <v>22</v>
      </c>
      <c r="H264" t="s">
        <v>10</v>
      </c>
      <c r="I264" t="s">
        <v>33</v>
      </c>
    </row>
    <row r="265" spans="1:9" x14ac:dyDescent="0.35">
      <c r="A265">
        <v>187</v>
      </c>
      <c r="B265">
        <v>79</v>
      </c>
      <c r="C265">
        <v>1</v>
      </c>
      <c r="D265" s="1">
        <v>42036</v>
      </c>
      <c r="E265">
        <v>11</v>
      </c>
      <c r="F265">
        <v>11</v>
      </c>
      <c r="G265" t="s">
        <v>22</v>
      </c>
      <c r="H265" t="s">
        <v>10</v>
      </c>
      <c r="I265" t="s">
        <v>46</v>
      </c>
    </row>
    <row r="266" spans="1:9" x14ac:dyDescent="0.35">
      <c r="A266">
        <v>261</v>
      </c>
      <c r="B266">
        <v>109</v>
      </c>
      <c r="C266">
        <v>1</v>
      </c>
      <c r="D266" s="1">
        <v>42036</v>
      </c>
      <c r="E266">
        <v>20.75</v>
      </c>
      <c r="F266">
        <v>20.75</v>
      </c>
      <c r="G266" t="s">
        <v>13</v>
      </c>
      <c r="H266" t="s">
        <v>16</v>
      </c>
      <c r="I266" t="s">
        <v>21</v>
      </c>
    </row>
    <row r="267" spans="1:9" x14ac:dyDescent="0.35">
      <c r="A267">
        <v>282</v>
      </c>
      <c r="B267">
        <v>118</v>
      </c>
      <c r="C267">
        <v>1</v>
      </c>
      <c r="D267" s="1">
        <v>42036</v>
      </c>
      <c r="E267">
        <v>20.75</v>
      </c>
      <c r="F267">
        <v>20.75</v>
      </c>
      <c r="G267" t="s">
        <v>13</v>
      </c>
      <c r="H267" t="s">
        <v>16</v>
      </c>
      <c r="I267" t="s">
        <v>21</v>
      </c>
    </row>
    <row r="268" spans="1:9" x14ac:dyDescent="0.35">
      <c r="A268">
        <v>248</v>
      </c>
      <c r="B268">
        <v>105</v>
      </c>
      <c r="C268">
        <v>1</v>
      </c>
      <c r="D268" s="1">
        <v>42036</v>
      </c>
      <c r="E268">
        <v>16.5</v>
      </c>
      <c r="F268">
        <v>16.5</v>
      </c>
      <c r="G268" t="s">
        <v>9</v>
      </c>
      <c r="H268" t="s">
        <v>16</v>
      </c>
      <c r="I268" t="s">
        <v>21</v>
      </c>
    </row>
    <row r="269" spans="1:9" x14ac:dyDescent="0.35">
      <c r="A269">
        <v>240</v>
      </c>
      <c r="B269">
        <v>102</v>
      </c>
      <c r="C269">
        <v>1</v>
      </c>
      <c r="D269" s="1">
        <v>42036</v>
      </c>
      <c r="E269">
        <v>12.5</v>
      </c>
      <c r="F269">
        <v>12.5</v>
      </c>
      <c r="G269" t="s">
        <v>22</v>
      </c>
      <c r="H269" t="s">
        <v>16</v>
      </c>
      <c r="I269" t="s">
        <v>21</v>
      </c>
    </row>
    <row r="270" spans="1:9" x14ac:dyDescent="0.35">
      <c r="A270">
        <v>210</v>
      </c>
      <c r="B270">
        <v>90</v>
      </c>
      <c r="C270">
        <v>1</v>
      </c>
      <c r="D270" s="1">
        <v>42036</v>
      </c>
      <c r="E270">
        <v>20.25</v>
      </c>
      <c r="F270">
        <v>20.25</v>
      </c>
      <c r="G270" t="s">
        <v>13</v>
      </c>
      <c r="H270" t="s">
        <v>16</v>
      </c>
      <c r="I270" t="s">
        <v>44</v>
      </c>
    </row>
    <row r="271" spans="1:9" x14ac:dyDescent="0.35">
      <c r="A271">
        <v>281</v>
      </c>
      <c r="B271">
        <v>117</v>
      </c>
      <c r="C271">
        <v>1</v>
      </c>
      <c r="D271" s="1">
        <v>42036</v>
      </c>
      <c r="E271">
        <v>20.25</v>
      </c>
      <c r="F271">
        <v>20.25</v>
      </c>
      <c r="G271" t="s">
        <v>13</v>
      </c>
      <c r="H271" t="s">
        <v>16</v>
      </c>
      <c r="I271" t="s">
        <v>44</v>
      </c>
    </row>
    <row r="272" spans="1:9" x14ac:dyDescent="0.35">
      <c r="A272">
        <v>290</v>
      </c>
      <c r="B272">
        <v>121</v>
      </c>
      <c r="C272">
        <v>1</v>
      </c>
      <c r="D272" s="1">
        <v>42036</v>
      </c>
      <c r="E272">
        <v>20.25</v>
      </c>
      <c r="F272">
        <v>20.25</v>
      </c>
      <c r="G272" t="s">
        <v>13</v>
      </c>
      <c r="H272" t="s">
        <v>16</v>
      </c>
      <c r="I272" t="s">
        <v>44</v>
      </c>
    </row>
    <row r="273" spans="1:9" x14ac:dyDescent="0.35">
      <c r="A273">
        <v>295</v>
      </c>
      <c r="B273">
        <v>124</v>
      </c>
      <c r="C273">
        <v>1</v>
      </c>
      <c r="D273" s="1">
        <v>42036</v>
      </c>
      <c r="E273">
        <v>20.25</v>
      </c>
      <c r="F273">
        <v>20.25</v>
      </c>
      <c r="G273" t="s">
        <v>13</v>
      </c>
      <c r="H273" t="s">
        <v>16</v>
      </c>
      <c r="I273" t="s">
        <v>44</v>
      </c>
    </row>
    <row r="274" spans="1:9" x14ac:dyDescent="0.35">
      <c r="A274">
        <v>224</v>
      </c>
      <c r="B274">
        <v>93</v>
      </c>
      <c r="C274">
        <v>1</v>
      </c>
      <c r="D274" s="1">
        <v>42036</v>
      </c>
      <c r="E274">
        <v>16.25</v>
      </c>
      <c r="F274">
        <v>16.25</v>
      </c>
      <c r="G274" t="s">
        <v>9</v>
      </c>
      <c r="H274" t="s">
        <v>16</v>
      </c>
      <c r="I274" t="s">
        <v>44</v>
      </c>
    </row>
    <row r="275" spans="1:9" x14ac:dyDescent="0.35">
      <c r="A275">
        <v>275</v>
      </c>
      <c r="B275">
        <v>114</v>
      </c>
      <c r="C275">
        <v>1</v>
      </c>
      <c r="D275" s="1">
        <v>42036</v>
      </c>
      <c r="E275">
        <v>12.25</v>
      </c>
      <c r="F275">
        <v>12.25</v>
      </c>
      <c r="G275" t="s">
        <v>22</v>
      </c>
      <c r="H275" t="s">
        <v>16</v>
      </c>
      <c r="I275" t="s">
        <v>44</v>
      </c>
    </row>
    <row r="276" spans="1:9" x14ac:dyDescent="0.35">
      <c r="A276">
        <v>163</v>
      </c>
      <c r="B276">
        <v>70</v>
      </c>
      <c r="C276">
        <v>1</v>
      </c>
      <c r="D276" s="1">
        <v>42036</v>
      </c>
      <c r="E276">
        <v>20.75</v>
      </c>
      <c r="F276">
        <v>20.75</v>
      </c>
      <c r="G276" t="s">
        <v>13</v>
      </c>
      <c r="H276" t="s">
        <v>16</v>
      </c>
      <c r="I276" t="s">
        <v>36</v>
      </c>
    </row>
    <row r="277" spans="1:9" x14ac:dyDescent="0.35">
      <c r="A277">
        <v>208</v>
      </c>
      <c r="B277">
        <v>89</v>
      </c>
      <c r="C277">
        <v>1</v>
      </c>
      <c r="D277" s="1">
        <v>42036</v>
      </c>
      <c r="E277">
        <v>20.75</v>
      </c>
      <c r="F277">
        <v>20.75</v>
      </c>
      <c r="G277" t="s">
        <v>13</v>
      </c>
      <c r="H277" t="s">
        <v>16</v>
      </c>
      <c r="I277" t="s">
        <v>36</v>
      </c>
    </row>
    <row r="278" spans="1:9" x14ac:dyDescent="0.35">
      <c r="A278">
        <v>237</v>
      </c>
      <c r="B278">
        <v>101</v>
      </c>
      <c r="C278">
        <v>1</v>
      </c>
      <c r="D278" s="1">
        <v>42036</v>
      </c>
      <c r="E278">
        <v>20.75</v>
      </c>
      <c r="F278">
        <v>20.75</v>
      </c>
      <c r="G278" t="s">
        <v>13</v>
      </c>
      <c r="H278" t="s">
        <v>16</v>
      </c>
      <c r="I278" t="s">
        <v>36</v>
      </c>
    </row>
    <row r="279" spans="1:9" x14ac:dyDescent="0.35">
      <c r="A279">
        <v>264</v>
      </c>
      <c r="B279">
        <v>110</v>
      </c>
      <c r="C279">
        <v>1</v>
      </c>
      <c r="D279" s="1">
        <v>42036</v>
      </c>
      <c r="E279">
        <v>20.75</v>
      </c>
      <c r="F279">
        <v>20.75</v>
      </c>
      <c r="G279" t="s">
        <v>13</v>
      </c>
      <c r="H279" t="s">
        <v>16</v>
      </c>
      <c r="I279" t="s">
        <v>36</v>
      </c>
    </row>
    <row r="280" spans="1:9" x14ac:dyDescent="0.35">
      <c r="A280">
        <v>291</v>
      </c>
      <c r="B280">
        <v>121</v>
      </c>
      <c r="C280">
        <v>1</v>
      </c>
      <c r="D280" s="1">
        <v>42036</v>
      </c>
      <c r="E280">
        <v>20.75</v>
      </c>
      <c r="F280">
        <v>20.75</v>
      </c>
      <c r="G280" t="s">
        <v>13</v>
      </c>
      <c r="H280" t="s">
        <v>19</v>
      </c>
      <c r="I280" t="s">
        <v>31</v>
      </c>
    </row>
    <row r="281" spans="1:9" x14ac:dyDescent="0.35">
      <c r="A281">
        <v>317</v>
      </c>
      <c r="B281">
        <v>134</v>
      </c>
      <c r="C281">
        <v>1</v>
      </c>
      <c r="D281" s="1">
        <v>42036</v>
      </c>
      <c r="E281">
        <v>20.75</v>
      </c>
      <c r="F281">
        <v>20.75</v>
      </c>
      <c r="G281" t="s">
        <v>13</v>
      </c>
      <c r="H281" t="s">
        <v>19</v>
      </c>
      <c r="I281" t="s">
        <v>31</v>
      </c>
    </row>
    <row r="282" spans="1:9" x14ac:dyDescent="0.35">
      <c r="A282">
        <v>273</v>
      </c>
      <c r="B282">
        <v>113</v>
      </c>
      <c r="C282">
        <v>1</v>
      </c>
      <c r="D282" s="1">
        <v>42036</v>
      </c>
      <c r="E282">
        <v>16.75</v>
      </c>
      <c r="F282">
        <v>16.75</v>
      </c>
      <c r="G282" t="s">
        <v>9</v>
      </c>
      <c r="H282" t="s">
        <v>19</v>
      </c>
      <c r="I282" t="s">
        <v>31</v>
      </c>
    </row>
    <row r="283" spans="1:9" x14ac:dyDescent="0.35">
      <c r="A283">
        <v>196</v>
      </c>
      <c r="B283">
        <v>83</v>
      </c>
      <c r="C283">
        <v>1</v>
      </c>
      <c r="D283" s="1">
        <v>42036</v>
      </c>
      <c r="E283">
        <v>12.75</v>
      </c>
      <c r="F283">
        <v>12.75</v>
      </c>
      <c r="G283" t="s">
        <v>22</v>
      </c>
      <c r="H283" t="s">
        <v>19</v>
      </c>
      <c r="I283" t="s">
        <v>31</v>
      </c>
    </row>
    <row r="284" spans="1:9" x14ac:dyDescent="0.35">
      <c r="A284">
        <v>226</v>
      </c>
      <c r="B284">
        <v>94</v>
      </c>
      <c r="C284">
        <v>1</v>
      </c>
      <c r="D284" s="1">
        <v>42036</v>
      </c>
      <c r="E284">
        <v>12.75</v>
      </c>
      <c r="F284">
        <v>12.75</v>
      </c>
      <c r="G284" t="s">
        <v>22</v>
      </c>
      <c r="H284" t="s">
        <v>19</v>
      </c>
      <c r="I284" t="s">
        <v>31</v>
      </c>
    </row>
    <row r="285" spans="1:9" x14ac:dyDescent="0.35">
      <c r="A285">
        <v>307</v>
      </c>
      <c r="B285">
        <v>130</v>
      </c>
      <c r="C285">
        <v>1</v>
      </c>
      <c r="D285" s="1">
        <v>42036</v>
      </c>
      <c r="E285">
        <v>12.75</v>
      </c>
      <c r="F285">
        <v>12.75</v>
      </c>
      <c r="G285" t="s">
        <v>22</v>
      </c>
      <c r="H285" t="s">
        <v>19</v>
      </c>
      <c r="I285" t="s">
        <v>31</v>
      </c>
    </row>
    <row r="286" spans="1:9" x14ac:dyDescent="0.35">
      <c r="A286">
        <v>177</v>
      </c>
      <c r="B286">
        <v>76</v>
      </c>
      <c r="C286">
        <v>1</v>
      </c>
      <c r="D286" s="1">
        <v>42036</v>
      </c>
      <c r="E286">
        <v>20.75</v>
      </c>
      <c r="F286">
        <v>20.75</v>
      </c>
      <c r="G286" t="s">
        <v>13</v>
      </c>
      <c r="H286" t="s">
        <v>16</v>
      </c>
      <c r="I286" t="s">
        <v>28</v>
      </c>
    </row>
    <row r="287" spans="1:9" x14ac:dyDescent="0.35">
      <c r="A287">
        <v>194</v>
      </c>
      <c r="B287">
        <v>82</v>
      </c>
      <c r="C287">
        <v>1</v>
      </c>
      <c r="D287" s="1">
        <v>42036</v>
      </c>
      <c r="E287">
        <v>20.75</v>
      </c>
      <c r="F287">
        <v>20.75</v>
      </c>
      <c r="G287" t="s">
        <v>13</v>
      </c>
      <c r="H287" t="s">
        <v>16</v>
      </c>
      <c r="I287" t="s">
        <v>28</v>
      </c>
    </row>
    <row r="288" spans="1:9" x14ac:dyDescent="0.35">
      <c r="A288">
        <v>250</v>
      </c>
      <c r="B288">
        <v>106</v>
      </c>
      <c r="C288">
        <v>1</v>
      </c>
      <c r="D288" s="1">
        <v>42036</v>
      </c>
      <c r="E288">
        <v>20.75</v>
      </c>
      <c r="F288">
        <v>20.75</v>
      </c>
      <c r="G288" t="s">
        <v>13</v>
      </c>
      <c r="H288" t="s">
        <v>16</v>
      </c>
      <c r="I288" t="s">
        <v>28</v>
      </c>
    </row>
    <row r="289" spans="1:9" x14ac:dyDescent="0.35">
      <c r="A289">
        <v>253</v>
      </c>
      <c r="B289">
        <v>107</v>
      </c>
      <c r="C289">
        <v>1</v>
      </c>
      <c r="D289" s="1">
        <v>42036</v>
      </c>
      <c r="E289">
        <v>20.75</v>
      </c>
      <c r="F289">
        <v>20.75</v>
      </c>
      <c r="G289" t="s">
        <v>13</v>
      </c>
      <c r="H289" t="s">
        <v>16</v>
      </c>
      <c r="I289" t="s">
        <v>28</v>
      </c>
    </row>
    <row r="290" spans="1:9" x14ac:dyDescent="0.35">
      <c r="A290">
        <v>296</v>
      </c>
      <c r="B290">
        <v>124</v>
      </c>
      <c r="C290">
        <v>1</v>
      </c>
      <c r="D290" s="1">
        <v>42036</v>
      </c>
      <c r="E290">
        <v>20.75</v>
      </c>
      <c r="F290">
        <v>20.75</v>
      </c>
      <c r="G290" t="s">
        <v>13</v>
      </c>
      <c r="H290" t="s">
        <v>16</v>
      </c>
      <c r="I290" t="s">
        <v>28</v>
      </c>
    </row>
    <row r="291" spans="1:9" x14ac:dyDescent="0.35">
      <c r="A291">
        <v>184</v>
      </c>
      <c r="B291">
        <v>78</v>
      </c>
      <c r="C291">
        <v>3</v>
      </c>
      <c r="D291" s="1">
        <v>42036</v>
      </c>
      <c r="E291">
        <v>20.75</v>
      </c>
      <c r="F291">
        <v>62.25</v>
      </c>
      <c r="G291" t="s">
        <v>13</v>
      </c>
      <c r="H291" t="s">
        <v>16</v>
      </c>
      <c r="I291" t="s">
        <v>28</v>
      </c>
    </row>
    <row r="292" spans="1:9" x14ac:dyDescent="0.35">
      <c r="A292">
        <v>238</v>
      </c>
      <c r="B292">
        <v>101</v>
      </c>
      <c r="C292">
        <v>1</v>
      </c>
      <c r="D292" s="1">
        <v>42036</v>
      </c>
      <c r="E292">
        <v>16.5</v>
      </c>
      <c r="F292">
        <v>16.5</v>
      </c>
      <c r="G292" t="s">
        <v>9</v>
      </c>
      <c r="H292" t="s">
        <v>16</v>
      </c>
      <c r="I292" t="s">
        <v>28</v>
      </c>
    </row>
    <row r="293" spans="1:9" x14ac:dyDescent="0.35">
      <c r="A293">
        <v>265</v>
      </c>
      <c r="B293">
        <v>110</v>
      </c>
      <c r="C293">
        <v>1</v>
      </c>
      <c r="D293" s="1">
        <v>42036</v>
      </c>
      <c r="E293">
        <v>12.5</v>
      </c>
      <c r="F293">
        <v>12.5</v>
      </c>
      <c r="G293" t="s">
        <v>22</v>
      </c>
      <c r="H293" t="s">
        <v>16</v>
      </c>
      <c r="I293" t="s">
        <v>28</v>
      </c>
    </row>
    <row r="294" spans="1:9" x14ac:dyDescent="0.35">
      <c r="A294">
        <v>301</v>
      </c>
      <c r="B294">
        <v>128</v>
      </c>
      <c r="C294">
        <v>1</v>
      </c>
      <c r="D294" s="1">
        <v>42036</v>
      </c>
      <c r="E294">
        <v>12.5</v>
      </c>
      <c r="F294">
        <v>12.5</v>
      </c>
      <c r="G294" t="s">
        <v>22</v>
      </c>
      <c r="H294" t="s">
        <v>16</v>
      </c>
      <c r="I294" t="s">
        <v>28</v>
      </c>
    </row>
    <row r="295" spans="1:9" x14ac:dyDescent="0.35">
      <c r="A295">
        <v>165</v>
      </c>
      <c r="B295">
        <v>72</v>
      </c>
      <c r="C295">
        <v>1</v>
      </c>
      <c r="D295" s="1">
        <v>42036</v>
      </c>
      <c r="E295">
        <v>20.25</v>
      </c>
      <c r="F295">
        <v>20.25</v>
      </c>
      <c r="G295" t="s">
        <v>13</v>
      </c>
      <c r="H295" t="s">
        <v>14</v>
      </c>
      <c r="I295" t="s">
        <v>43</v>
      </c>
    </row>
    <row r="296" spans="1:9" x14ac:dyDescent="0.35">
      <c r="A296">
        <v>287</v>
      </c>
      <c r="B296">
        <v>120</v>
      </c>
      <c r="C296">
        <v>1</v>
      </c>
      <c r="D296" s="1">
        <v>42036</v>
      </c>
      <c r="E296">
        <v>20.25</v>
      </c>
      <c r="F296">
        <v>20.25</v>
      </c>
      <c r="G296" t="s">
        <v>13</v>
      </c>
      <c r="H296" t="s">
        <v>14</v>
      </c>
      <c r="I296" t="s">
        <v>43</v>
      </c>
    </row>
    <row r="297" spans="1:9" x14ac:dyDescent="0.35">
      <c r="A297">
        <v>221</v>
      </c>
      <c r="B297">
        <v>92</v>
      </c>
      <c r="C297">
        <v>1</v>
      </c>
      <c r="D297" s="1">
        <v>42036</v>
      </c>
      <c r="E297">
        <v>12</v>
      </c>
      <c r="F297">
        <v>12</v>
      </c>
      <c r="G297" t="s">
        <v>22</v>
      </c>
      <c r="H297" t="s">
        <v>14</v>
      </c>
      <c r="I297" t="s">
        <v>43</v>
      </c>
    </row>
    <row r="298" spans="1:9" x14ac:dyDescent="0.35">
      <c r="A298">
        <v>283</v>
      </c>
      <c r="B298">
        <v>118</v>
      </c>
      <c r="C298">
        <v>1</v>
      </c>
      <c r="D298" s="1">
        <v>42036</v>
      </c>
      <c r="E298">
        <v>12</v>
      </c>
      <c r="F298">
        <v>12</v>
      </c>
      <c r="G298" t="s">
        <v>22</v>
      </c>
      <c r="H298" t="s">
        <v>14</v>
      </c>
      <c r="I298" t="s">
        <v>43</v>
      </c>
    </row>
    <row r="299" spans="1:9" x14ac:dyDescent="0.35">
      <c r="A299">
        <v>269</v>
      </c>
      <c r="B299">
        <v>111</v>
      </c>
      <c r="C299">
        <v>1</v>
      </c>
      <c r="D299" s="1">
        <v>42036</v>
      </c>
      <c r="E299">
        <v>20.75</v>
      </c>
      <c r="F299">
        <v>20.75</v>
      </c>
      <c r="G299" t="s">
        <v>13</v>
      </c>
      <c r="H299" t="s">
        <v>14</v>
      </c>
      <c r="I299" t="s">
        <v>29</v>
      </c>
    </row>
    <row r="300" spans="1:9" x14ac:dyDescent="0.35">
      <c r="A300">
        <v>169</v>
      </c>
      <c r="B300">
        <v>74</v>
      </c>
      <c r="C300">
        <v>1</v>
      </c>
      <c r="D300" s="1">
        <v>42036</v>
      </c>
      <c r="E300">
        <v>12.5</v>
      </c>
      <c r="F300">
        <v>12.5</v>
      </c>
      <c r="G300" t="s">
        <v>22</v>
      </c>
      <c r="H300" t="s">
        <v>14</v>
      </c>
      <c r="I300" t="s">
        <v>29</v>
      </c>
    </row>
    <row r="301" spans="1:9" x14ac:dyDescent="0.35">
      <c r="A301">
        <v>170</v>
      </c>
      <c r="B301">
        <v>74</v>
      </c>
      <c r="C301">
        <v>1</v>
      </c>
      <c r="D301" s="1">
        <v>42036</v>
      </c>
      <c r="E301">
        <v>20.75</v>
      </c>
      <c r="F301">
        <v>20.75</v>
      </c>
      <c r="G301" t="s">
        <v>13</v>
      </c>
      <c r="H301" t="s">
        <v>16</v>
      </c>
      <c r="I301" t="s">
        <v>25</v>
      </c>
    </row>
    <row r="302" spans="1:9" x14ac:dyDescent="0.35">
      <c r="A302">
        <v>205</v>
      </c>
      <c r="B302">
        <v>87</v>
      </c>
      <c r="C302">
        <v>1</v>
      </c>
      <c r="D302" s="1">
        <v>42036</v>
      </c>
      <c r="E302">
        <v>20.75</v>
      </c>
      <c r="F302">
        <v>20.75</v>
      </c>
      <c r="G302" t="s">
        <v>13</v>
      </c>
      <c r="H302" t="s">
        <v>16</v>
      </c>
      <c r="I302" t="s">
        <v>25</v>
      </c>
    </row>
    <row r="303" spans="1:9" x14ac:dyDescent="0.35">
      <c r="A303">
        <v>257</v>
      </c>
      <c r="B303">
        <v>108</v>
      </c>
      <c r="C303">
        <v>1</v>
      </c>
      <c r="D303" s="1">
        <v>42036</v>
      </c>
      <c r="E303">
        <v>20.75</v>
      </c>
      <c r="F303">
        <v>20.75</v>
      </c>
      <c r="G303" t="s">
        <v>13</v>
      </c>
      <c r="H303" t="s">
        <v>16</v>
      </c>
      <c r="I303" t="s">
        <v>25</v>
      </c>
    </row>
    <row r="304" spans="1:9" x14ac:dyDescent="0.35">
      <c r="A304">
        <v>206</v>
      </c>
      <c r="B304">
        <v>87</v>
      </c>
      <c r="C304">
        <v>1</v>
      </c>
      <c r="D304" s="1">
        <v>42036</v>
      </c>
      <c r="E304">
        <v>12.5</v>
      </c>
      <c r="F304">
        <v>12.5</v>
      </c>
      <c r="G304" t="s">
        <v>22</v>
      </c>
      <c r="H304" t="s">
        <v>16</v>
      </c>
      <c r="I304" t="s">
        <v>25</v>
      </c>
    </row>
    <row r="305" spans="1:9" x14ac:dyDescent="0.35">
      <c r="A305">
        <v>222</v>
      </c>
      <c r="B305">
        <v>92</v>
      </c>
      <c r="C305">
        <v>1</v>
      </c>
      <c r="D305" s="1">
        <v>42036</v>
      </c>
      <c r="E305">
        <v>12.5</v>
      </c>
      <c r="F305">
        <v>12.5</v>
      </c>
      <c r="G305" t="s">
        <v>22</v>
      </c>
      <c r="H305" t="s">
        <v>16</v>
      </c>
      <c r="I305" t="s">
        <v>25</v>
      </c>
    </row>
    <row r="306" spans="1:9" x14ac:dyDescent="0.35">
      <c r="A306">
        <v>241</v>
      </c>
      <c r="B306">
        <v>103</v>
      </c>
      <c r="C306">
        <v>1</v>
      </c>
      <c r="D306" s="1">
        <v>42036</v>
      </c>
      <c r="E306">
        <v>12.5</v>
      </c>
      <c r="F306">
        <v>12.5</v>
      </c>
      <c r="G306" t="s">
        <v>22</v>
      </c>
      <c r="H306" t="s">
        <v>16</v>
      </c>
      <c r="I306" t="s">
        <v>25</v>
      </c>
    </row>
    <row r="307" spans="1:9" x14ac:dyDescent="0.35">
      <c r="A307">
        <v>311</v>
      </c>
      <c r="B307">
        <v>131</v>
      </c>
      <c r="C307">
        <v>1</v>
      </c>
      <c r="D307" s="1">
        <v>42036</v>
      </c>
      <c r="E307">
        <v>12.5</v>
      </c>
      <c r="F307">
        <v>12.5</v>
      </c>
      <c r="G307" t="s">
        <v>22</v>
      </c>
      <c r="H307" t="s">
        <v>16</v>
      </c>
      <c r="I307" t="s">
        <v>25</v>
      </c>
    </row>
    <row r="308" spans="1:9" x14ac:dyDescent="0.35">
      <c r="A308">
        <v>318</v>
      </c>
      <c r="B308">
        <v>134</v>
      </c>
      <c r="C308">
        <v>1</v>
      </c>
      <c r="D308" s="1">
        <v>42036</v>
      </c>
      <c r="E308">
        <v>12.5</v>
      </c>
      <c r="F308">
        <v>12.5</v>
      </c>
      <c r="G308" t="s">
        <v>22</v>
      </c>
      <c r="H308" t="s">
        <v>16</v>
      </c>
      <c r="I308" t="s">
        <v>25</v>
      </c>
    </row>
    <row r="309" spans="1:9" x14ac:dyDescent="0.35">
      <c r="A309">
        <v>164</v>
      </c>
      <c r="B309">
        <v>71</v>
      </c>
      <c r="C309">
        <v>1</v>
      </c>
      <c r="D309" s="1">
        <v>42036</v>
      </c>
      <c r="E309">
        <v>20.75</v>
      </c>
      <c r="F309">
        <v>20.75</v>
      </c>
      <c r="G309" t="s">
        <v>13</v>
      </c>
      <c r="H309" t="s">
        <v>19</v>
      </c>
      <c r="I309" t="s">
        <v>20</v>
      </c>
    </row>
    <row r="310" spans="1:9" x14ac:dyDescent="0.35">
      <c r="A310">
        <v>188</v>
      </c>
      <c r="B310">
        <v>79</v>
      </c>
      <c r="C310">
        <v>1</v>
      </c>
      <c r="D310" s="1">
        <v>42036</v>
      </c>
      <c r="E310">
        <v>20.75</v>
      </c>
      <c r="F310">
        <v>20.75</v>
      </c>
      <c r="G310" t="s">
        <v>13</v>
      </c>
      <c r="H310" t="s">
        <v>19</v>
      </c>
      <c r="I310" t="s">
        <v>20</v>
      </c>
    </row>
    <row r="311" spans="1:9" x14ac:dyDescent="0.35">
      <c r="A311">
        <v>191</v>
      </c>
      <c r="B311">
        <v>81</v>
      </c>
      <c r="C311">
        <v>1</v>
      </c>
      <c r="D311" s="1">
        <v>42036</v>
      </c>
      <c r="E311">
        <v>20.75</v>
      </c>
      <c r="F311">
        <v>20.75</v>
      </c>
      <c r="G311" t="s">
        <v>13</v>
      </c>
      <c r="H311" t="s">
        <v>19</v>
      </c>
      <c r="I311" t="s">
        <v>20</v>
      </c>
    </row>
    <row r="312" spans="1:9" x14ac:dyDescent="0.35">
      <c r="A312">
        <v>209</v>
      </c>
      <c r="B312">
        <v>89</v>
      </c>
      <c r="C312">
        <v>1</v>
      </c>
      <c r="D312" s="1">
        <v>42036</v>
      </c>
      <c r="E312">
        <v>20.75</v>
      </c>
      <c r="F312">
        <v>20.75</v>
      </c>
      <c r="G312" t="s">
        <v>13</v>
      </c>
      <c r="H312" t="s">
        <v>19</v>
      </c>
      <c r="I312" t="s">
        <v>20</v>
      </c>
    </row>
    <row r="313" spans="1:9" x14ac:dyDescent="0.35">
      <c r="A313">
        <v>190</v>
      </c>
      <c r="B313">
        <v>80</v>
      </c>
      <c r="C313">
        <v>1</v>
      </c>
      <c r="D313" s="1">
        <v>42036</v>
      </c>
      <c r="E313">
        <v>16.75</v>
      </c>
      <c r="F313">
        <v>16.75</v>
      </c>
      <c r="G313" t="s">
        <v>9</v>
      </c>
      <c r="H313" t="s">
        <v>19</v>
      </c>
      <c r="I313" t="s">
        <v>20</v>
      </c>
    </row>
    <row r="314" spans="1:9" x14ac:dyDescent="0.35">
      <c r="A314">
        <v>278</v>
      </c>
      <c r="B314">
        <v>115</v>
      </c>
      <c r="C314">
        <v>1</v>
      </c>
      <c r="D314" s="1">
        <v>42036</v>
      </c>
      <c r="E314">
        <v>16.75</v>
      </c>
      <c r="F314">
        <v>16.75</v>
      </c>
      <c r="G314" t="s">
        <v>9</v>
      </c>
      <c r="H314" t="s">
        <v>19</v>
      </c>
      <c r="I314" t="s">
        <v>20</v>
      </c>
    </row>
    <row r="315" spans="1:9" x14ac:dyDescent="0.35">
      <c r="A315">
        <v>166</v>
      </c>
      <c r="B315">
        <v>73</v>
      </c>
      <c r="C315">
        <v>1</v>
      </c>
      <c r="D315" s="1">
        <v>42036</v>
      </c>
      <c r="E315">
        <v>12.75</v>
      </c>
      <c r="F315">
        <v>12.75</v>
      </c>
      <c r="G315" t="s">
        <v>22</v>
      </c>
      <c r="H315" t="s">
        <v>19</v>
      </c>
      <c r="I315" t="s">
        <v>20</v>
      </c>
    </row>
    <row r="316" spans="1:9" x14ac:dyDescent="0.35">
      <c r="A316">
        <v>185</v>
      </c>
      <c r="B316">
        <v>78</v>
      </c>
      <c r="C316">
        <v>1</v>
      </c>
      <c r="D316" s="1">
        <v>42036</v>
      </c>
      <c r="E316">
        <v>12.75</v>
      </c>
      <c r="F316">
        <v>12.75</v>
      </c>
      <c r="G316" t="s">
        <v>22</v>
      </c>
      <c r="H316" t="s">
        <v>19</v>
      </c>
      <c r="I316" t="s">
        <v>20</v>
      </c>
    </row>
    <row r="317" spans="1:9" x14ac:dyDescent="0.35">
      <c r="A317">
        <v>211</v>
      </c>
      <c r="B317">
        <v>90</v>
      </c>
      <c r="C317">
        <v>1</v>
      </c>
      <c r="D317" s="1">
        <v>42036</v>
      </c>
      <c r="E317">
        <v>12.75</v>
      </c>
      <c r="F317">
        <v>12.75</v>
      </c>
      <c r="G317" t="s">
        <v>22</v>
      </c>
      <c r="H317" t="s">
        <v>19</v>
      </c>
      <c r="I317" t="s">
        <v>20</v>
      </c>
    </row>
    <row r="318" spans="1:9" x14ac:dyDescent="0.35">
      <c r="A318">
        <v>245</v>
      </c>
      <c r="B318">
        <v>104</v>
      </c>
      <c r="C318">
        <v>1</v>
      </c>
      <c r="D318" s="1">
        <v>42036</v>
      </c>
      <c r="E318">
        <v>20.25</v>
      </c>
      <c r="F318">
        <v>20.25</v>
      </c>
      <c r="G318" t="s">
        <v>13</v>
      </c>
      <c r="H318" t="s">
        <v>14</v>
      </c>
      <c r="I318" t="s">
        <v>30</v>
      </c>
    </row>
    <row r="319" spans="1:9" x14ac:dyDescent="0.35">
      <c r="A319">
        <v>254</v>
      </c>
      <c r="B319">
        <v>107</v>
      </c>
      <c r="C319">
        <v>1</v>
      </c>
      <c r="D319" s="1">
        <v>42036</v>
      </c>
      <c r="E319">
        <v>20.25</v>
      </c>
      <c r="F319">
        <v>20.25</v>
      </c>
      <c r="G319" t="s">
        <v>13</v>
      </c>
      <c r="H319" t="s">
        <v>14</v>
      </c>
      <c r="I319" t="s">
        <v>30</v>
      </c>
    </row>
    <row r="320" spans="1:9" x14ac:dyDescent="0.35">
      <c r="A320">
        <v>299</v>
      </c>
      <c r="B320">
        <v>126</v>
      </c>
      <c r="C320">
        <v>1</v>
      </c>
      <c r="D320" s="1">
        <v>42036</v>
      </c>
      <c r="E320">
        <v>20.25</v>
      </c>
      <c r="F320">
        <v>20.25</v>
      </c>
      <c r="G320" t="s">
        <v>13</v>
      </c>
      <c r="H320" t="s">
        <v>14</v>
      </c>
      <c r="I320" t="s">
        <v>30</v>
      </c>
    </row>
    <row r="321" spans="1:9" x14ac:dyDescent="0.35">
      <c r="A321">
        <v>319</v>
      </c>
      <c r="B321">
        <v>135</v>
      </c>
      <c r="C321">
        <v>1</v>
      </c>
      <c r="D321" s="1">
        <v>42036</v>
      </c>
      <c r="E321">
        <v>20.25</v>
      </c>
      <c r="F321">
        <v>20.25</v>
      </c>
      <c r="G321" t="s">
        <v>13</v>
      </c>
      <c r="H321" t="s">
        <v>14</v>
      </c>
      <c r="I321" t="s">
        <v>30</v>
      </c>
    </row>
    <row r="322" spans="1:9" x14ac:dyDescent="0.35">
      <c r="A322">
        <v>195</v>
      </c>
      <c r="B322">
        <v>82</v>
      </c>
      <c r="C322">
        <v>1</v>
      </c>
      <c r="D322" s="1">
        <v>42036</v>
      </c>
      <c r="E322">
        <v>16</v>
      </c>
      <c r="F322">
        <v>16</v>
      </c>
      <c r="G322" t="s">
        <v>9</v>
      </c>
      <c r="H322" t="s">
        <v>14</v>
      </c>
      <c r="I322" t="s">
        <v>30</v>
      </c>
    </row>
    <row r="323" spans="1:9" x14ac:dyDescent="0.35">
      <c r="A323">
        <v>396</v>
      </c>
      <c r="B323">
        <v>167</v>
      </c>
      <c r="C323">
        <v>1</v>
      </c>
      <c r="D323" s="1">
        <v>42064</v>
      </c>
      <c r="E323">
        <v>20.75</v>
      </c>
      <c r="F323">
        <v>20.75</v>
      </c>
      <c r="G323" t="s">
        <v>13</v>
      </c>
      <c r="H323" t="s">
        <v>19</v>
      </c>
      <c r="I323" t="s">
        <v>23</v>
      </c>
    </row>
    <row r="324" spans="1:9" x14ac:dyDescent="0.35">
      <c r="A324">
        <v>447</v>
      </c>
      <c r="B324">
        <v>190</v>
      </c>
      <c r="C324">
        <v>1</v>
      </c>
      <c r="D324" s="1">
        <v>42064</v>
      </c>
      <c r="E324">
        <v>20.75</v>
      </c>
      <c r="F324">
        <v>20.75</v>
      </c>
      <c r="G324" t="s">
        <v>13</v>
      </c>
      <c r="H324" t="s">
        <v>19</v>
      </c>
      <c r="I324" t="s">
        <v>23</v>
      </c>
    </row>
    <row r="325" spans="1:9" x14ac:dyDescent="0.35">
      <c r="A325">
        <v>459</v>
      </c>
      <c r="B325">
        <v>195</v>
      </c>
      <c r="C325">
        <v>1</v>
      </c>
      <c r="D325" s="1">
        <v>42064</v>
      </c>
      <c r="E325">
        <v>20.75</v>
      </c>
      <c r="F325">
        <v>20.75</v>
      </c>
      <c r="G325" t="s">
        <v>13</v>
      </c>
      <c r="H325" t="s">
        <v>19</v>
      </c>
      <c r="I325" t="s">
        <v>23</v>
      </c>
    </row>
    <row r="326" spans="1:9" x14ac:dyDescent="0.35">
      <c r="A326">
        <v>342</v>
      </c>
      <c r="B326">
        <v>144</v>
      </c>
      <c r="C326">
        <v>3</v>
      </c>
      <c r="D326" s="1">
        <v>42064</v>
      </c>
      <c r="E326">
        <v>16.75</v>
      </c>
      <c r="F326">
        <v>50.25</v>
      </c>
      <c r="G326" t="s">
        <v>9</v>
      </c>
      <c r="H326" t="s">
        <v>19</v>
      </c>
      <c r="I326" t="s">
        <v>23</v>
      </c>
    </row>
    <row r="327" spans="1:9" x14ac:dyDescent="0.35">
      <c r="A327">
        <v>458</v>
      </c>
      <c r="B327">
        <v>194</v>
      </c>
      <c r="C327">
        <v>1</v>
      </c>
      <c r="D327" s="1">
        <v>42064</v>
      </c>
      <c r="E327">
        <v>12.75</v>
      </c>
      <c r="F327">
        <v>12.75</v>
      </c>
      <c r="G327" t="s">
        <v>22</v>
      </c>
      <c r="H327" t="s">
        <v>19</v>
      </c>
      <c r="I327" t="s">
        <v>23</v>
      </c>
    </row>
    <row r="328" spans="1:9" x14ac:dyDescent="0.35">
      <c r="A328">
        <v>343</v>
      </c>
      <c r="B328">
        <v>144</v>
      </c>
      <c r="C328">
        <v>1</v>
      </c>
      <c r="D328" s="1">
        <v>42064</v>
      </c>
      <c r="E328">
        <v>12</v>
      </c>
      <c r="F328">
        <v>12</v>
      </c>
      <c r="G328" t="s">
        <v>22</v>
      </c>
      <c r="H328" t="s">
        <v>10</v>
      </c>
      <c r="I328" t="s">
        <v>35</v>
      </c>
    </row>
    <row r="329" spans="1:9" x14ac:dyDescent="0.35">
      <c r="A329">
        <v>388</v>
      </c>
      <c r="B329">
        <v>162</v>
      </c>
      <c r="C329">
        <v>1</v>
      </c>
      <c r="D329" s="1">
        <v>42064</v>
      </c>
      <c r="E329">
        <v>12</v>
      </c>
      <c r="F329">
        <v>12</v>
      </c>
      <c r="G329" t="s">
        <v>22</v>
      </c>
      <c r="H329" t="s">
        <v>10</v>
      </c>
      <c r="I329" t="s">
        <v>35</v>
      </c>
    </row>
    <row r="330" spans="1:9" x14ac:dyDescent="0.35">
      <c r="A330">
        <v>399</v>
      </c>
      <c r="B330">
        <v>168</v>
      </c>
      <c r="C330">
        <v>1</v>
      </c>
      <c r="D330" s="1">
        <v>42064</v>
      </c>
      <c r="E330">
        <v>12</v>
      </c>
      <c r="F330">
        <v>12</v>
      </c>
      <c r="G330" t="s">
        <v>22</v>
      </c>
      <c r="H330" t="s">
        <v>10</v>
      </c>
      <c r="I330" t="s">
        <v>35</v>
      </c>
    </row>
    <row r="331" spans="1:9" x14ac:dyDescent="0.35">
      <c r="A331">
        <v>412</v>
      </c>
      <c r="B331">
        <v>174</v>
      </c>
      <c r="C331">
        <v>1</v>
      </c>
      <c r="D331" s="1">
        <v>42064</v>
      </c>
      <c r="E331">
        <v>12</v>
      </c>
      <c r="F331">
        <v>12</v>
      </c>
      <c r="G331" t="s">
        <v>22</v>
      </c>
      <c r="H331" t="s">
        <v>10</v>
      </c>
      <c r="I331" t="s">
        <v>35</v>
      </c>
    </row>
    <row r="332" spans="1:9" x14ac:dyDescent="0.35">
      <c r="A332">
        <v>455</v>
      </c>
      <c r="B332">
        <v>193</v>
      </c>
      <c r="C332">
        <v>1</v>
      </c>
      <c r="D332" s="1">
        <v>42064</v>
      </c>
      <c r="E332">
        <v>12</v>
      </c>
      <c r="F332">
        <v>12</v>
      </c>
      <c r="G332" t="s">
        <v>22</v>
      </c>
      <c r="H332" t="s">
        <v>10</v>
      </c>
      <c r="I332" t="s">
        <v>35</v>
      </c>
    </row>
    <row r="333" spans="1:9" x14ac:dyDescent="0.35">
      <c r="A333">
        <v>467</v>
      </c>
      <c r="B333">
        <v>198</v>
      </c>
      <c r="C333">
        <v>1</v>
      </c>
      <c r="D333" s="1">
        <v>42064</v>
      </c>
      <c r="E333">
        <v>12</v>
      </c>
      <c r="F333">
        <v>12</v>
      </c>
      <c r="G333" t="s">
        <v>22</v>
      </c>
      <c r="H333" t="s">
        <v>10</v>
      </c>
      <c r="I333" t="s">
        <v>35</v>
      </c>
    </row>
    <row r="334" spans="1:9" x14ac:dyDescent="0.35">
      <c r="A334">
        <v>445</v>
      </c>
      <c r="B334">
        <v>189</v>
      </c>
      <c r="C334">
        <v>2</v>
      </c>
      <c r="D334" s="1">
        <v>42064</v>
      </c>
      <c r="E334">
        <v>12</v>
      </c>
      <c r="F334">
        <v>24</v>
      </c>
      <c r="G334" t="s">
        <v>22</v>
      </c>
      <c r="H334" t="s">
        <v>10</v>
      </c>
      <c r="I334" t="s">
        <v>35</v>
      </c>
    </row>
    <row r="335" spans="1:9" x14ac:dyDescent="0.35">
      <c r="A335">
        <v>428</v>
      </c>
      <c r="B335">
        <v>182</v>
      </c>
      <c r="C335">
        <v>1</v>
      </c>
      <c r="D335" s="1">
        <v>42064</v>
      </c>
      <c r="E335">
        <v>23.65</v>
      </c>
      <c r="F335">
        <v>23.65</v>
      </c>
      <c r="G335" t="s">
        <v>22</v>
      </c>
      <c r="H335" t="s">
        <v>16</v>
      </c>
      <c r="I335" t="s">
        <v>48</v>
      </c>
    </row>
    <row r="336" spans="1:9" x14ac:dyDescent="0.35">
      <c r="A336">
        <v>471</v>
      </c>
      <c r="B336">
        <v>201</v>
      </c>
      <c r="C336">
        <v>1</v>
      </c>
      <c r="D336" s="1">
        <v>42064</v>
      </c>
      <c r="E336">
        <v>16.25</v>
      </c>
      <c r="F336">
        <v>16.25</v>
      </c>
      <c r="G336" t="s">
        <v>9</v>
      </c>
      <c r="H336" t="s">
        <v>16</v>
      </c>
      <c r="I336" t="s">
        <v>39</v>
      </c>
    </row>
    <row r="337" spans="1:9" x14ac:dyDescent="0.35">
      <c r="A337">
        <v>344</v>
      </c>
      <c r="B337">
        <v>144</v>
      </c>
      <c r="C337">
        <v>1</v>
      </c>
      <c r="D337" s="1">
        <v>42064</v>
      </c>
      <c r="E337">
        <v>20.75</v>
      </c>
      <c r="F337">
        <v>20.75</v>
      </c>
      <c r="G337" t="s">
        <v>13</v>
      </c>
      <c r="H337" t="s">
        <v>19</v>
      </c>
      <c r="I337" t="s">
        <v>32</v>
      </c>
    </row>
    <row r="338" spans="1:9" x14ac:dyDescent="0.35">
      <c r="A338">
        <v>355</v>
      </c>
      <c r="B338">
        <v>146</v>
      </c>
      <c r="C338">
        <v>1</v>
      </c>
      <c r="D338" s="1">
        <v>42064</v>
      </c>
      <c r="E338">
        <v>20.75</v>
      </c>
      <c r="F338">
        <v>20.75</v>
      </c>
      <c r="G338" t="s">
        <v>13</v>
      </c>
      <c r="H338" t="s">
        <v>19</v>
      </c>
      <c r="I338" t="s">
        <v>32</v>
      </c>
    </row>
    <row r="339" spans="1:9" x14ac:dyDescent="0.35">
      <c r="A339">
        <v>392</v>
      </c>
      <c r="B339">
        <v>164</v>
      </c>
      <c r="C339">
        <v>1</v>
      </c>
      <c r="D339" s="1">
        <v>42064</v>
      </c>
      <c r="E339">
        <v>20.75</v>
      </c>
      <c r="F339">
        <v>20.75</v>
      </c>
      <c r="G339" t="s">
        <v>13</v>
      </c>
      <c r="H339" t="s">
        <v>19</v>
      </c>
      <c r="I339" t="s">
        <v>32</v>
      </c>
    </row>
    <row r="340" spans="1:9" x14ac:dyDescent="0.35">
      <c r="A340">
        <v>413</v>
      </c>
      <c r="B340">
        <v>174</v>
      </c>
      <c r="C340">
        <v>1</v>
      </c>
      <c r="D340" s="1">
        <v>42064</v>
      </c>
      <c r="E340">
        <v>20.75</v>
      </c>
      <c r="F340">
        <v>20.75</v>
      </c>
      <c r="G340" t="s">
        <v>13</v>
      </c>
      <c r="H340" t="s">
        <v>19</v>
      </c>
      <c r="I340" t="s">
        <v>32</v>
      </c>
    </row>
    <row r="341" spans="1:9" x14ac:dyDescent="0.35">
      <c r="A341">
        <v>417</v>
      </c>
      <c r="B341">
        <v>176</v>
      </c>
      <c r="C341">
        <v>1</v>
      </c>
      <c r="D341" s="1">
        <v>42064</v>
      </c>
      <c r="E341">
        <v>20.75</v>
      </c>
      <c r="F341">
        <v>20.75</v>
      </c>
      <c r="G341" t="s">
        <v>13</v>
      </c>
      <c r="H341" t="s">
        <v>19</v>
      </c>
      <c r="I341" t="s">
        <v>32</v>
      </c>
    </row>
    <row r="342" spans="1:9" x14ac:dyDescent="0.35">
      <c r="A342">
        <v>451</v>
      </c>
      <c r="B342">
        <v>191</v>
      </c>
      <c r="C342">
        <v>1</v>
      </c>
      <c r="D342" s="1">
        <v>42064</v>
      </c>
      <c r="E342">
        <v>20.75</v>
      </c>
      <c r="F342">
        <v>20.75</v>
      </c>
      <c r="G342" t="s">
        <v>13</v>
      </c>
      <c r="H342" t="s">
        <v>19</v>
      </c>
      <c r="I342" t="s">
        <v>32</v>
      </c>
    </row>
    <row r="343" spans="1:9" x14ac:dyDescent="0.35">
      <c r="A343">
        <v>325</v>
      </c>
      <c r="B343">
        <v>138</v>
      </c>
      <c r="C343">
        <v>1</v>
      </c>
      <c r="D343" s="1">
        <v>42064</v>
      </c>
      <c r="E343">
        <v>16.75</v>
      </c>
      <c r="F343">
        <v>16.75</v>
      </c>
      <c r="G343" t="s">
        <v>9</v>
      </c>
      <c r="H343" t="s">
        <v>19</v>
      </c>
      <c r="I343" t="s">
        <v>32</v>
      </c>
    </row>
    <row r="344" spans="1:9" x14ac:dyDescent="0.35">
      <c r="A344">
        <v>409</v>
      </c>
      <c r="B344">
        <v>173</v>
      </c>
      <c r="C344">
        <v>1</v>
      </c>
      <c r="D344" s="1">
        <v>42064</v>
      </c>
      <c r="E344">
        <v>16.75</v>
      </c>
      <c r="F344">
        <v>16.75</v>
      </c>
      <c r="G344" t="s">
        <v>9</v>
      </c>
      <c r="H344" t="s">
        <v>19</v>
      </c>
      <c r="I344" t="s">
        <v>32</v>
      </c>
    </row>
    <row r="345" spans="1:9" x14ac:dyDescent="0.35">
      <c r="A345">
        <v>414</v>
      </c>
      <c r="B345">
        <v>174</v>
      </c>
      <c r="C345">
        <v>1</v>
      </c>
      <c r="D345" s="1">
        <v>42064</v>
      </c>
      <c r="E345">
        <v>16.75</v>
      </c>
      <c r="F345">
        <v>16.75</v>
      </c>
      <c r="G345" t="s">
        <v>9</v>
      </c>
      <c r="H345" t="s">
        <v>19</v>
      </c>
      <c r="I345" t="s">
        <v>32</v>
      </c>
    </row>
    <row r="346" spans="1:9" x14ac:dyDescent="0.35">
      <c r="A346">
        <v>456</v>
      </c>
      <c r="B346">
        <v>193</v>
      </c>
      <c r="C346">
        <v>1</v>
      </c>
      <c r="D346" s="1">
        <v>42064</v>
      </c>
      <c r="E346">
        <v>16.75</v>
      </c>
      <c r="F346">
        <v>16.75</v>
      </c>
      <c r="G346" t="s">
        <v>9</v>
      </c>
      <c r="H346" t="s">
        <v>19</v>
      </c>
      <c r="I346" t="s">
        <v>32</v>
      </c>
    </row>
    <row r="347" spans="1:9" x14ac:dyDescent="0.35">
      <c r="A347">
        <v>334</v>
      </c>
      <c r="B347">
        <v>143</v>
      </c>
      <c r="C347">
        <v>1</v>
      </c>
      <c r="D347" s="1">
        <v>42064</v>
      </c>
      <c r="E347">
        <v>12.75</v>
      </c>
      <c r="F347">
        <v>12.75</v>
      </c>
      <c r="G347" t="s">
        <v>22</v>
      </c>
      <c r="H347" t="s">
        <v>19</v>
      </c>
      <c r="I347" t="s">
        <v>32</v>
      </c>
    </row>
    <row r="348" spans="1:9" x14ac:dyDescent="0.35">
      <c r="A348">
        <v>475</v>
      </c>
      <c r="B348">
        <v>202</v>
      </c>
      <c r="C348">
        <v>1</v>
      </c>
      <c r="D348" s="1">
        <v>42064</v>
      </c>
      <c r="E348">
        <v>12.75</v>
      </c>
      <c r="F348">
        <v>12.75</v>
      </c>
      <c r="G348" t="s">
        <v>22</v>
      </c>
      <c r="H348" t="s">
        <v>19</v>
      </c>
      <c r="I348" t="s">
        <v>32</v>
      </c>
    </row>
    <row r="349" spans="1:9" x14ac:dyDescent="0.35">
      <c r="A349">
        <v>468</v>
      </c>
      <c r="B349">
        <v>198</v>
      </c>
      <c r="C349">
        <v>1</v>
      </c>
      <c r="D349" s="1">
        <v>42064</v>
      </c>
      <c r="E349">
        <v>20.75</v>
      </c>
      <c r="F349">
        <v>20.75</v>
      </c>
      <c r="G349" t="s">
        <v>13</v>
      </c>
      <c r="H349" t="s">
        <v>19</v>
      </c>
      <c r="I349" t="s">
        <v>45</v>
      </c>
    </row>
    <row r="350" spans="1:9" x14ac:dyDescent="0.35">
      <c r="A350">
        <v>457</v>
      </c>
      <c r="B350">
        <v>193</v>
      </c>
      <c r="C350">
        <v>2</v>
      </c>
      <c r="D350" s="1">
        <v>42064</v>
      </c>
      <c r="E350">
        <v>20.75</v>
      </c>
      <c r="F350">
        <v>41.5</v>
      </c>
      <c r="G350" t="s">
        <v>13</v>
      </c>
      <c r="H350" t="s">
        <v>19</v>
      </c>
      <c r="I350" t="s">
        <v>45</v>
      </c>
    </row>
    <row r="351" spans="1:9" x14ac:dyDescent="0.35">
      <c r="A351">
        <v>452</v>
      </c>
      <c r="B351">
        <v>191</v>
      </c>
      <c r="C351">
        <v>1</v>
      </c>
      <c r="D351" s="1">
        <v>42064</v>
      </c>
      <c r="E351">
        <v>16.75</v>
      </c>
      <c r="F351">
        <v>16.75</v>
      </c>
      <c r="G351" t="s">
        <v>9</v>
      </c>
      <c r="H351" t="s">
        <v>19</v>
      </c>
      <c r="I351" t="s">
        <v>45</v>
      </c>
    </row>
    <row r="352" spans="1:9" x14ac:dyDescent="0.35">
      <c r="A352">
        <v>469</v>
      </c>
      <c r="B352">
        <v>199</v>
      </c>
      <c r="C352">
        <v>1</v>
      </c>
      <c r="D352" s="1">
        <v>42064</v>
      </c>
      <c r="E352">
        <v>16.75</v>
      </c>
      <c r="F352">
        <v>16.75</v>
      </c>
      <c r="G352" t="s">
        <v>9</v>
      </c>
      <c r="H352" t="s">
        <v>19</v>
      </c>
      <c r="I352" t="s">
        <v>45</v>
      </c>
    </row>
    <row r="353" spans="1:9" x14ac:dyDescent="0.35">
      <c r="A353">
        <v>472</v>
      </c>
      <c r="B353">
        <v>201</v>
      </c>
      <c r="C353">
        <v>1</v>
      </c>
      <c r="D353" s="1">
        <v>42064</v>
      </c>
      <c r="E353">
        <v>20.75</v>
      </c>
      <c r="F353">
        <v>20.75</v>
      </c>
      <c r="G353" t="s">
        <v>13</v>
      </c>
      <c r="H353" t="s">
        <v>19</v>
      </c>
      <c r="I353" t="s">
        <v>34</v>
      </c>
    </row>
    <row r="354" spans="1:9" x14ac:dyDescent="0.35">
      <c r="A354">
        <v>345</v>
      </c>
      <c r="B354">
        <v>144</v>
      </c>
      <c r="C354">
        <v>1</v>
      </c>
      <c r="D354" s="1">
        <v>42064</v>
      </c>
      <c r="E354">
        <v>16.75</v>
      </c>
      <c r="F354">
        <v>16.75</v>
      </c>
      <c r="G354" t="s">
        <v>9</v>
      </c>
      <c r="H354" t="s">
        <v>19</v>
      </c>
      <c r="I354" t="s">
        <v>34</v>
      </c>
    </row>
    <row r="355" spans="1:9" x14ac:dyDescent="0.35">
      <c r="A355">
        <v>370</v>
      </c>
      <c r="B355">
        <v>155</v>
      </c>
      <c r="C355">
        <v>1</v>
      </c>
      <c r="D355" s="1">
        <v>42064</v>
      </c>
      <c r="E355">
        <v>12.75</v>
      </c>
      <c r="F355">
        <v>12.75</v>
      </c>
      <c r="G355" t="s">
        <v>22</v>
      </c>
      <c r="H355" t="s">
        <v>19</v>
      </c>
      <c r="I355" t="s">
        <v>34</v>
      </c>
    </row>
    <row r="356" spans="1:9" x14ac:dyDescent="0.35">
      <c r="A356">
        <v>425</v>
      </c>
      <c r="B356">
        <v>180</v>
      </c>
      <c r="C356">
        <v>1</v>
      </c>
      <c r="D356" s="1">
        <v>42064</v>
      </c>
      <c r="E356">
        <v>20.5</v>
      </c>
      <c r="F356">
        <v>20.5</v>
      </c>
      <c r="G356" t="s">
        <v>13</v>
      </c>
      <c r="H356" t="s">
        <v>10</v>
      </c>
      <c r="I356" t="s">
        <v>12</v>
      </c>
    </row>
    <row r="357" spans="1:9" x14ac:dyDescent="0.35">
      <c r="A357">
        <v>332</v>
      </c>
      <c r="B357">
        <v>141</v>
      </c>
      <c r="C357">
        <v>1</v>
      </c>
      <c r="D357" s="1">
        <v>42064</v>
      </c>
      <c r="E357">
        <v>16</v>
      </c>
      <c r="F357">
        <v>16</v>
      </c>
      <c r="G357" t="s">
        <v>9</v>
      </c>
      <c r="H357" t="s">
        <v>10</v>
      </c>
      <c r="I357" t="s">
        <v>12</v>
      </c>
    </row>
    <row r="358" spans="1:9" x14ac:dyDescent="0.35">
      <c r="A358">
        <v>384</v>
      </c>
      <c r="B358">
        <v>160</v>
      </c>
      <c r="C358">
        <v>1</v>
      </c>
      <c r="D358" s="1">
        <v>42064</v>
      </c>
      <c r="E358">
        <v>16</v>
      </c>
      <c r="F358">
        <v>16</v>
      </c>
      <c r="G358" t="s">
        <v>9</v>
      </c>
      <c r="H358" t="s">
        <v>10</v>
      </c>
      <c r="I358" t="s">
        <v>12</v>
      </c>
    </row>
    <row r="359" spans="1:9" x14ac:dyDescent="0.35">
      <c r="A359">
        <v>410</v>
      </c>
      <c r="B359">
        <v>173</v>
      </c>
      <c r="C359">
        <v>1</v>
      </c>
      <c r="D359" s="1">
        <v>42064</v>
      </c>
      <c r="E359">
        <v>16</v>
      </c>
      <c r="F359">
        <v>16</v>
      </c>
      <c r="G359" t="s">
        <v>9</v>
      </c>
      <c r="H359" t="s">
        <v>10</v>
      </c>
      <c r="I359" t="s">
        <v>12</v>
      </c>
    </row>
    <row r="360" spans="1:9" x14ac:dyDescent="0.35">
      <c r="A360">
        <v>335</v>
      </c>
      <c r="B360">
        <v>143</v>
      </c>
      <c r="C360">
        <v>1</v>
      </c>
      <c r="D360" s="1">
        <v>42064</v>
      </c>
      <c r="E360">
        <v>12</v>
      </c>
      <c r="F360">
        <v>12</v>
      </c>
      <c r="G360" t="s">
        <v>22</v>
      </c>
      <c r="H360" t="s">
        <v>10</v>
      </c>
      <c r="I360" t="s">
        <v>12</v>
      </c>
    </row>
    <row r="361" spans="1:9" x14ac:dyDescent="0.35">
      <c r="A361">
        <v>329</v>
      </c>
      <c r="B361">
        <v>139</v>
      </c>
      <c r="C361">
        <v>1</v>
      </c>
      <c r="D361" s="1">
        <v>42064</v>
      </c>
      <c r="E361">
        <v>18.5</v>
      </c>
      <c r="F361">
        <v>18.5</v>
      </c>
      <c r="G361" t="s">
        <v>13</v>
      </c>
      <c r="H361" t="s">
        <v>14</v>
      </c>
      <c r="I361" t="s">
        <v>15</v>
      </c>
    </row>
    <row r="362" spans="1:9" x14ac:dyDescent="0.35">
      <c r="A362">
        <v>346</v>
      </c>
      <c r="B362">
        <v>144</v>
      </c>
      <c r="C362">
        <v>1</v>
      </c>
      <c r="D362" s="1">
        <v>42064</v>
      </c>
      <c r="E362">
        <v>18.5</v>
      </c>
      <c r="F362">
        <v>18.5</v>
      </c>
      <c r="G362" t="s">
        <v>13</v>
      </c>
      <c r="H362" t="s">
        <v>14</v>
      </c>
      <c r="I362" t="s">
        <v>15</v>
      </c>
    </row>
    <row r="363" spans="1:9" x14ac:dyDescent="0.35">
      <c r="A363">
        <v>440</v>
      </c>
      <c r="B363">
        <v>187</v>
      </c>
      <c r="C363">
        <v>1</v>
      </c>
      <c r="D363" s="1">
        <v>42064</v>
      </c>
      <c r="E363">
        <v>18.5</v>
      </c>
      <c r="F363">
        <v>18.5</v>
      </c>
      <c r="G363" t="s">
        <v>13</v>
      </c>
      <c r="H363" t="s">
        <v>14</v>
      </c>
      <c r="I363" t="s">
        <v>15</v>
      </c>
    </row>
    <row r="364" spans="1:9" x14ac:dyDescent="0.35">
      <c r="A364">
        <v>442</v>
      </c>
      <c r="B364">
        <v>188</v>
      </c>
      <c r="C364">
        <v>1</v>
      </c>
      <c r="D364" s="1">
        <v>42064</v>
      </c>
      <c r="E364">
        <v>18.5</v>
      </c>
      <c r="F364">
        <v>18.5</v>
      </c>
      <c r="G364" t="s">
        <v>13</v>
      </c>
      <c r="H364" t="s">
        <v>14</v>
      </c>
      <c r="I364" t="s">
        <v>15</v>
      </c>
    </row>
    <row r="365" spans="1:9" x14ac:dyDescent="0.35">
      <c r="A365">
        <v>326</v>
      </c>
      <c r="B365">
        <v>138</v>
      </c>
      <c r="C365">
        <v>1</v>
      </c>
      <c r="D365" s="1">
        <v>42064</v>
      </c>
      <c r="E365">
        <v>17.95</v>
      </c>
      <c r="F365">
        <v>17.95</v>
      </c>
      <c r="G365" t="s">
        <v>13</v>
      </c>
      <c r="H365" t="s">
        <v>14</v>
      </c>
      <c r="I365" t="s">
        <v>37</v>
      </c>
    </row>
    <row r="366" spans="1:9" x14ac:dyDescent="0.35">
      <c r="A366">
        <v>347</v>
      </c>
      <c r="B366">
        <v>144</v>
      </c>
      <c r="C366">
        <v>1</v>
      </c>
      <c r="D366" s="1">
        <v>42064</v>
      </c>
      <c r="E366">
        <v>17.95</v>
      </c>
      <c r="F366">
        <v>17.95</v>
      </c>
      <c r="G366" t="s">
        <v>13</v>
      </c>
      <c r="H366" t="s">
        <v>14</v>
      </c>
      <c r="I366" t="s">
        <v>37</v>
      </c>
    </row>
    <row r="367" spans="1:9" x14ac:dyDescent="0.35">
      <c r="A367">
        <v>382</v>
      </c>
      <c r="B367">
        <v>159</v>
      </c>
      <c r="C367">
        <v>1</v>
      </c>
      <c r="D367" s="1">
        <v>42064</v>
      </c>
      <c r="E367">
        <v>17.95</v>
      </c>
      <c r="F367">
        <v>17.95</v>
      </c>
      <c r="G367" t="s">
        <v>13</v>
      </c>
      <c r="H367" t="s">
        <v>14</v>
      </c>
      <c r="I367" t="s">
        <v>37</v>
      </c>
    </row>
    <row r="368" spans="1:9" x14ac:dyDescent="0.35">
      <c r="A368">
        <v>401</v>
      </c>
      <c r="B368">
        <v>169</v>
      </c>
      <c r="C368">
        <v>1</v>
      </c>
      <c r="D368" s="1">
        <v>42064</v>
      </c>
      <c r="E368">
        <v>17.95</v>
      </c>
      <c r="F368">
        <v>17.95</v>
      </c>
      <c r="G368" t="s">
        <v>13</v>
      </c>
      <c r="H368" t="s">
        <v>14</v>
      </c>
      <c r="I368" t="s">
        <v>37</v>
      </c>
    </row>
    <row r="369" spans="1:9" x14ac:dyDescent="0.35">
      <c r="A369">
        <v>463</v>
      </c>
      <c r="B369">
        <v>197</v>
      </c>
      <c r="C369">
        <v>1</v>
      </c>
      <c r="D369" s="1">
        <v>42064</v>
      </c>
      <c r="E369">
        <v>17.95</v>
      </c>
      <c r="F369">
        <v>17.95</v>
      </c>
      <c r="G369" t="s">
        <v>13</v>
      </c>
      <c r="H369" t="s">
        <v>14</v>
      </c>
      <c r="I369" t="s">
        <v>37</v>
      </c>
    </row>
    <row r="370" spans="1:9" x14ac:dyDescent="0.35">
      <c r="A370">
        <v>356</v>
      </c>
      <c r="B370">
        <v>146</v>
      </c>
      <c r="C370">
        <v>1</v>
      </c>
      <c r="D370" s="1">
        <v>42064</v>
      </c>
      <c r="E370">
        <v>14.75</v>
      </c>
      <c r="F370">
        <v>14.75</v>
      </c>
      <c r="G370" t="s">
        <v>9</v>
      </c>
      <c r="H370" t="s">
        <v>14</v>
      </c>
      <c r="I370" t="s">
        <v>37</v>
      </c>
    </row>
    <row r="371" spans="1:9" x14ac:dyDescent="0.35">
      <c r="A371">
        <v>448</v>
      </c>
      <c r="B371">
        <v>190</v>
      </c>
      <c r="C371">
        <v>1</v>
      </c>
      <c r="D371" s="1">
        <v>42064</v>
      </c>
      <c r="E371">
        <v>14.75</v>
      </c>
      <c r="F371">
        <v>14.75</v>
      </c>
      <c r="G371" t="s">
        <v>9</v>
      </c>
      <c r="H371" t="s">
        <v>14</v>
      </c>
      <c r="I371" t="s">
        <v>37</v>
      </c>
    </row>
    <row r="372" spans="1:9" x14ac:dyDescent="0.35">
      <c r="A372">
        <v>367</v>
      </c>
      <c r="B372">
        <v>152</v>
      </c>
      <c r="C372">
        <v>1</v>
      </c>
      <c r="D372" s="1">
        <v>42064</v>
      </c>
      <c r="E372">
        <v>16</v>
      </c>
      <c r="F372">
        <v>16</v>
      </c>
      <c r="G372" t="s">
        <v>9</v>
      </c>
      <c r="H372" t="s">
        <v>10</v>
      </c>
      <c r="I372" t="s">
        <v>24</v>
      </c>
    </row>
    <row r="373" spans="1:9" x14ac:dyDescent="0.35">
      <c r="A373">
        <v>391</v>
      </c>
      <c r="B373">
        <v>163</v>
      </c>
      <c r="C373">
        <v>1</v>
      </c>
      <c r="D373" s="1">
        <v>42064</v>
      </c>
      <c r="E373">
        <v>16</v>
      </c>
      <c r="F373">
        <v>16</v>
      </c>
      <c r="G373" t="s">
        <v>9</v>
      </c>
      <c r="H373" t="s">
        <v>10</v>
      </c>
      <c r="I373" t="s">
        <v>24</v>
      </c>
    </row>
    <row r="374" spans="1:9" x14ac:dyDescent="0.35">
      <c r="A374">
        <v>354</v>
      </c>
      <c r="B374">
        <v>145</v>
      </c>
      <c r="C374">
        <v>1</v>
      </c>
      <c r="D374" s="1">
        <v>42064</v>
      </c>
      <c r="E374">
        <v>12</v>
      </c>
      <c r="F374">
        <v>12</v>
      </c>
      <c r="G374" t="s">
        <v>22</v>
      </c>
      <c r="H374" t="s">
        <v>10</v>
      </c>
      <c r="I374" t="s">
        <v>24</v>
      </c>
    </row>
    <row r="375" spans="1:9" x14ac:dyDescent="0.35">
      <c r="A375">
        <v>358</v>
      </c>
      <c r="B375">
        <v>147</v>
      </c>
      <c r="C375">
        <v>1</v>
      </c>
      <c r="D375" s="1">
        <v>42064</v>
      </c>
      <c r="E375">
        <v>25.5</v>
      </c>
      <c r="F375">
        <v>25.5</v>
      </c>
      <c r="G375" t="s">
        <v>47</v>
      </c>
      <c r="H375" t="s">
        <v>10</v>
      </c>
      <c r="I375" t="s">
        <v>24</v>
      </c>
    </row>
    <row r="376" spans="1:9" x14ac:dyDescent="0.35">
      <c r="A376">
        <v>387</v>
      </c>
      <c r="B376">
        <v>161</v>
      </c>
      <c r="C376">
        <v>1</v>
      </c>
      <c r="D376" s="1">
        <v>42064</v>
      </c>
      <c r="E376">
        <v>25.5</v>
      </c>
      <c r="F376">
        <v>25.5</v>
      </c>
      <c r="G376" t="s">
        <v>47</v>
      </c>
      <c r="H376" t="s">
        <v>10</v>
      </c>
      <c r="I376" t="s">
        <v>24</v>
      </c>
    </row>
    <row r="377" spans="1:9" x14ac:dyDescent="0.35">
      <c r="A377">
        <v>470</v>
      </c>
      <c r="B377">
        <v>200</v>
      </c>
      <c r="C377">
        <v>1</v>
      </c>
      <c r="D377" s="1">
        <v>42064</v>
      </c>
      <c r="E377">
        <v>25.5</v>
      </c>
      <c r="F377">
        <v>25.5</v>
      </c>
      <c r="G377" t="s">
        <v>47</v>
      </c>
      <c r="H377" t="s">
        <v>10</v>
      </c>
      <c r="I377" t="s">
        <v>24</v>
      </c>
    </row>
    <row r="378" spans="1:9" x14ac:dyDescent="0.35">
      <c r="A378">
        <v>474</v>
      </c>
      <c r="B378">
        <v>201</v>
      </c>
      <c r="C378">
        <v>1</v>
      </c>
      <c r="D378" s="1">
        <v>42064</v>
      </c>
      <c r="E378">
        <v>25.5</v>
      </c>
      <c r="F378">
        <v>25.5</v>
      </c>
      <c r="G378" t="s">
        <v>47</v>
      </c>
      <c r="H378" t="s">
        <v>10</v>
      </c>
      <c r="I378" t="s">
        <v>24</v>
      </c>
    </row>
    <row r="379" spans="1:9" x14ac:dyDescent="0.35">
      <c r="A379">
        <v>333</v>
      </c>
      <c r="B379">
        <v>142</v>
      </c>
      <c r="C379">
        <v>1</v>
      </c>
      <c r="D379" s="1">
        <v>42064</v>
      </c>
      <c r="E379">
        <v>16</v>
      </c>
      <c r="F379">
        <v>16</v>
      </c>
      <c r="G379" t="s">
        <v>9</v>
      </c>
      <c r="H379" t="s">
        <v>14</v>
      </c>
      <c r="I379" t="s">
        <v>26</v>
      </c>
    </row>
    <row r="380" spans="1:9" x14ac:dyDescent="0.35">
      <c r="A380">
        <v>336</v>
      </c>
      <c r="B380">
        <v>143</v>
      </c>
      <c r="C380">
        <v>1</v>
      </c>
      <c r="D380" s="1">
        <v>42064</v>
      </c>
      <c r="E380">
        <v>16.5</v>
      </c>
      <c r="F380">
        <v>16.5</v>
      </c>
      <c r="G380" t="s">
        <v>13</v>
      </c>
      <c r="H380" t="s">
        <v>10</v>
      </c>
      <c r="I380" t="s">
        <v>11</v>
      </c>
    </row>
    <row r="381" spans="1:9" x14ac:dyDescent="0.35">
      <c r="A381">
        <v>404</v>
      </c>
      <c r="B381">
        <v>170</v>
      </c>
      <c r="C381">
        <v>1</v>
      </c>
      <c r="D381" s="1">
        <v>42064</v>
      </c>
      <c r="E381">
        <v>16.5</v>
      </c>
      <c r="F381">
        <v>16.5</v>
      </c>
      <c r="G381" t="s">
        <v>13</v>
      </c>
      <c r="H381" t="s">
        <v>10</v>
      </c>
      <c r="I381" t="s">
        <v>11</v>
      </c>
    </row>
    <row r="382" spans="1:9" x14ac:dyDescent="0.35">
      <c r="A382">
        <v>422</v>
      </c>
      <c r="B382">
        <v>179</v>
      </c>
      <c r="C382">
        <v>1</v>
      </c>
      <c r="D382" s="1">
        <v>42064</v>
      </c>
      <c r="E382">
        <v>16.5</v>
      </c>
      <c r="F382">
        <v>16.5</v>
      </c>
      <c r="G382" t="s">
        <v>13</v>
      </c>
      <c r="H382" t="s">
        <v>10</v>
      </c>
      <c r="I382" t="s">
        <v>11</v>
      </c>
    </row>
    <row r="383" spans="1:9" x14ac:dyDescent="0.35">
      <c r="A383">
        <v>433</v>
      </c>
      <c r="B383">
        <v>184</v>
      </c>
      <c r="C383">
        <v>1</v>
      </c>
      <c r="D383" s="1">
        <v>42064</v>
      </c>
      <c r="E383">
        <v>16.5</v>
      </c>
      <c r="F383">
        <v>16.5</v>
      </c>
      <c r="G383" t="s">
        <v>13</v>
      </c>
      <c r="H383" t="s">
        <v>10</v>
      </c>
      <c r="I383" t="s">
        <v>11</v>
      </c>
    </row>
    <row r="384" spans="1:9" x14ac:dyDescent="0.35">
      <c r="A384">
        <v>357</v>
      </c>
      <c r="B384">
        <v>146</v>
      </c>
      <c r="C384">
        <v>1</v>
      </c>
      <c r="D384" s="1">
        <v>42064</v>
      </c>
      <c r="E384">
        <v>13.25</v>
      </c>
      <c r="F384">
        <v>13.25</v>
      </c>
      <c r="G384" t="s">
        <v>9</v>
      </c>
      <c r="H384" t="s">
        <v>10</v>
      </c>
      <c r="I384" t="s">
        <v>11</v>
      </c>
    </row>
    <row r="385" spans="1:9" x14ac:dyDescent="0.35">
      <c r="A385">
        <v>389</v>
      </c>
      <c r="B385">
        <v>163</v>
      </c>
      <c r="C385">
        <v>1</v>
      </c>
      <c r="D385" s="1">
        <v>42064</v>
      </c>
      <c r="E385">
        <v>13.25</v>
      </c>
      <c r="F385">
        <v>13.25</v>
      </c>
      <c r="G385" t="s">
        <v>9</v>
      </c>
      <c r="H385" t="s">
        <v>10</v>
      </c>
      <c r="I385" t="s">
        <v>11</v>
      </c>
    </row>
    <row r="386" spans="1:9" x14ac:dyDescent="0.35">
      <c r="A386">
        <v>364</v>
      </c>
      <c r="B386">
        <v>152</v>
      </c>
      <c r="C386">
        <v>1</v>
      </c>
      <c r="D386" s="1">
        <v>42064</v>
      </c>
      <c r="E386">
        <v>10.5</v>
      </c>
      <c r="F386">
        <v>10.5</v>
      </c>
      <c r="G386" t="s">
        <v>22</v>
      </c>
      <c r="H386" t="s">
        <v>10</v>
      </c>
      <c r="I386" t="s">
        <v>11</v>
      </c>
    </row>
    <row r="387" spans="1:9" x14ac:dyDescent="0.35">
      <c r="A387">
        <v>385</v>
      </c>
      <c r="B387">
        <v>161</v>
      </c>
      <c r="C387">
        <v>1</v>
      </c>
      <c r="D387" s="1">
        <v>42064</v>
      </c>
      <c r="E387">
        <v>10.5</v>
      </c>
      <c r="F387">
        <v>10.5</v>
      </c>
      <c r="G387" t="s">
        <v>22</v>
      </c>
      <c r="H387" t="s">
        <v>10</v>
      </c>
      <c r="I387" t="s">
        <v>11</v>
      </c>
    </row>
    <row r="388" spans="1:9" x14ac:dyDescent="0.35">
      <c r="A388">
        <v>464</v>
      </c>
      <c r="B388">
        <v>197</v>
      </c>
      <c r="C388">
        <v>1</v>
      </c>
      <c r="D388" s="1">
        <v>42064</v>
      </c>
      <c r="E388">
        <v>20.5</v>
      </c>
      <c r="F388">
        <v>20.5</v>
      </c>
      <c r="G388" t="s">
        <v>13</v>
      </c>
      <c r="H388" t="s">
        <v>10</v>
      </c>
      <c r="I388" t="s">
        <v>27</v>
      </c>
    </row>
    <row r="389" spans="1:9" x14ac:dyDescent="0.35">
      <c r="A389">
        <v>415</v>
      </c>
      <c r="B389">
        <v>174</v>
      </c>
      <c r="C389">
        <v>1</v>
      </c>
      <c r="D389" s="1">
        <v>42064</v>
      </c>
      <c r="E389">
        <v>16</v>
      </c>
      <c r="F389">
        <v>16</v>
      </c>
      <c r="G389" t="s">
        <v>9</v>
      </c>
      <c r="H389" t="s">
        <v>10</v>
      </c>
      <c r="I389" t="s">
        <v>27</v>
      </c>
    </row>
    <row r="390" spans="1:9" x14ac:dyDescent="0.35">
      <c r="A390">
        <v>402</v>
      </c>
      <c r="B390">
        <v>169</v>
      </c>
      <c r="C390">
        <v>1</v>
      </c>
      <c r="D390" s="1">
        <v>42064</v>
      </c>
      <c r="E390">
        <v>12</v>
      </c>
      <c r="F390">
        <v>12</v>
      </c>
      <c r="G390" t="s">
        <v>22</v>
      </c>
      <c r="H390" t="s">
        <v>10</v>
      </c>
      <c r="I390" t="s">
        <v>27</v>
      </c>
    </row>
    <row r="391" spans="1:9" x14ac:dyDescent="0.35">
      <c r="A391">
        <v>376</v>
      </c>
      <c r="B391">
        <v>157</v>
      </c>
      <c r="C391">
        <v>1</v>
      </c>
      <c r="D391" s="1">
        <v>42064</v>
      </c>
      <c r="E391">
        <v>20.75</v>
      </c>
      <c r="F391">
        <v>20.75</v>
      </c>
      <c r="G391" t="s">
        <v>13</v>
      </c>
      <c r="H391" t="s">
        <v>16</v>
      </c>
      <c r="I391" t="s">
        <v>17</v>
      </c>
    </row>
    <row r="392" spans="1:9" x14ac:dyDescent="0.35">
      <c r="A392">
        <v>416</v>
      </c>
      <c r="B392">
        <v>175</v>
      </c>
      <c r="C392">
        <v>1</v>
      </c>
      <c r="D392" s="1">
        <v>42064</v>
      </c>
      <c r="E392">
        <v>20.75</v>
      </c>
      <c r="F392">
        <v>20.75</v>
      </c>
      <c r="G392" t="s">
        <v>13</v>
      </c>
      <c r="H392" t="s">
        <v>16</v>
      </c>
      <c r="I392" t="s">
        <v>17</v>
      </c>
    </row>
    <row r="393" spans="1:9" x14ac:dyDescent="0.35">
      <c r="A393">
        <v>473</v>
      </c>
      <c r="B393">
        <v>201</v>
      </c>
      <c r="C393">
        <v>1</v>
      </c>
      <c r="D393" s="1">
        <v>42064</v>
      </c>
      <c r="E393">
        <v>20.75</v>
      </c>
      <c r="F393">
        <v>20.75</v>
      </c>
      <c r="G393" t="s">
        <v>13</v>
      </c>
      <c r="H393" t="s">
        <v>16</v>
      </c>
      <c r="I393" t="s">
        <v>17</v>
      </c>
    </row>
    <row r="394" spans="1:9" x14ac:dyDescent="0.35">
      <c r="A394">
        <v>397</v>
      </c>
      <c r="B394">
        <v>167</v>
      </c>
      <c r="C394">
        <v>1</v>
      </c>
      <c r="D394" s="1">
        <v>42064</v>
      </c>
      <c r="E394">
        <v>16.5</v>
      </c>
      <c r="F394">
        <v>16.5</v>
      </c>
      <c r="G394" t="s">
        <v>9</v>
      </c>
      <c r="H394" t="s">
        <v>16</v>
      </c>
      <c r="I394" t="s">
        <v>17</v>
      </c>
    </row>
    <row r="395" spans="1:9" x14ac:dyDescent="0.35">
      <c r="A395">
        <v>327</v>
      </c>
      <c r="B395">
        <v>138</v>
      </c>
      <c r="C395">
        <v>1</v>
      </c>
      <c r="D395" s="1">
        <v>42064</v>
      </c>
      <c r="E395">
        <v>21</v>
      </c>
      <c r="F395">
        <v>21</v>
      </c>
      <c r="G395" t="s">
        <v>13</v>
      </c>
      <c r="H395" t="s">
        <v>14</v>
      </c>
      <c r="I395" t="s">
        <v>40</v>
      </c>
    </row>
    <row r="396" spans="1:9" x14ac:dyDescent="0.35">
      <c r="A396">
        <v>465</v>
      </c>
      <c r="B396">
        <v>197</v>
      </c>
      <c r="C396">
        <v>1</v>
      </c>
      <c r="D396" s="1">
        <v>42064</v>
      </c>
      <c r="E396">
        <v>21</v>
      </c>
      <c r="F396">
        <v>21</v>
      </c>
      <c r="G396" t="s">
        <v>13</v>
      </c>
      <c r="H396" t="s">
        <v>14</v>
      </c>
      <c r="I396" t="s">
        <v>40</v>
      </c>
    </row>
    <row r="397" spans="1:9" x14ac:dyDescent="0.35">
      <c r="A397">
        <v>380</v>
      </c>
      <c r="B397">
        <v>158</v>
      </c>
      <c r="C397">
        <v>1</v>
      </c>
      <c r="D397" s="1">
        <v>42064</v>
      </c>
      <c r="E397">
        <v>16.75</v>
      </c>
      <c r="F397">
        <v>16.75</v>
      </c>
      <c r="G397" t="s">
        <v>9</v>
      </c>
      <c r="H397" t="s">
        <v>14</v>
      </c>
      <c r="I397" t="s">
        <v>40</v>
      </c>
    </row>
    <row r="398" spans="1:9" x14ac:dyDescent="0.35">
      <c r="A398">
        <v>322</v>
      </c>
      <c r="B398">
        <v>137</v>
      </c>
      <c r="C398">
        <v>1</v>
      </c>
      <c r="D398" s="1">
        <v>42064</v>
      </c>
      <c r="E398">
        <v>20.25</v>
      </c>
      <c r="F398">
        <v>20.25</v>
      </c>
      <c r="G398" t="s">
        <v>13</v>
      </c>
      <c r="H398" t="s">
        <v>14</v>
      </c>
      <c r="I398" t="s">
        <v>41</v>
      </c>
    </row>
    <row r="399" spans="1:9" x14ac:dyDescent="0.35">
      <c r="A399">
        <v>377</v>
      </c>
      <c r="B399">
        <v>157</v>
      </c>
      <c r="C399">
        <v>1</v>
      </c>
      <c r="D399" s="1">
        <v>42064</v>
      </c>
      <c r="E399">
        <v>16</v>
      </c>
      <c r="F399">
        <v>16</v>
      </c>
      <c r="G399" t="s">
        <v>9</v>
      </c>
      <c r="H399" t="s">
        <v>14</v>
      </c>
      <c r="I399" t="s">
        <v>41</v>
      </c>
    </row>
    <row r="400" spans="1:9" x14ac:dyDescent="0.35">
      <c r="A400">
        <v>359</v>
      </c>
      <c r="B400">
        <v>148</v>
      </c>
      <c r="C400">
        <v>1</v>
      </c>
      <c r="D400" s="1">
        <v>42064</v>
      </c>
      <c r="E400">
        <v>12</v>
      </c>
      <c r="F400">
        <v>12</v>
      </c>
      <c r="G400" t="s">
        <v>22</v>
      </c>
      <c r="H400" t="s">
        <v>14</v>
      </c>
      <c r="I400" t="s">
        <v>41</v>
      </c>
    </row>
    <row r="401" spans="1:9" x14ac:dyDescent="0.35">
      <c r="A401">
        <v>427</v>
      </c>
      <c r="B401">
        <v>181</v>
      </c>
      <c r="C401">
        <v>1</v>
      </c>
      <c r="D401" s="1">
        <v>42064</v>
      </c>
      <c r="E401">
        <v>20.25</v>
      </c>
      <c r="F401">
        <v>20.25</v>
      </c>
      <c r="G401" t="s">
        <v>13</v>
      </c>
      <c r="H401" t="s">
        <v>14</v>
      </c>
      <c r="I401" t="s">
        <v>18</v>
      </c>
    </row>
    <row r="402" spans="1:9" x14ac:dyDescent="0.35">
      <c r="A402">
        <v>436</v>
      </c>
      <c r="B402">
        <v>186</v>
      </c>
      <c r="C402">
        <v>1</v>
      </c>
      <c r="D402" s="1">
        <v>42064</v>
      </c>
      <c r="E402">
        <v>20.25</v>
      </c>
      <c r="F402">
        <v>20.25</v>
      </c>
      <c r="G402" t="s">
        <v>13</v>
      </c>
      <c r="H402" t="s">
        <v>14</v>
      </c>
      <c r="I402" t="s">
        <v>18</v>
      </c>
    </row>
    <row r="403" spans="1:9" x14ac:dyDescent="0.35">
      <c r="A403">
        <v>337</v>
      </c>
      <c r="B403">
        <v>143</v>
      </c>
      <c r="C403">
        <v>1</v>
      </c>
      <c r="D403" s="1">
        <v>42064</v>
      </c>
      <c r="E403">
        <v>16</v>
      </c>
      <c r="F403">
        <v>16</v>
      </c>
      <c r="G403" t="s">
        <v>9</v>
      </c>
      <c r="H403" t="s">
        <v>14</v>
      </c>
      <c r="I403" t="s">
        <v>18</v>
      </c>
    </row>
    <row r="404" spans="1:9" x14ac:dyDescent="0.35">
      <c r="A404">
        <v>368</v>
      </c>
      <c r="B404">
        <v>153</v>
      </c>
      <c r="C404">
        <v>1</v>
      </c>
      <c r="D404" s="1">
        <v>42064</v>
      </c>
      <c r="E404">
        <v>16</v>
      </c>
      <c r="F404">
        <v>16</v>
      </c>
      <c r="G404" t="s">
        <v>9</v>
      </c>
      <c r="H404" t="s">
        <v>14</v>
      </c>
      <c r="I404" t="s">
        <v>18</v>
      </c>
    </row>
    <row r="405" spans="1:9" x14ac:dyDescent="0.35">
      <c r="A405">
        <v>371</v>
      </c>
      <c r="B405">
        <v>155</v>
      </c>
      <c r="C405">
        <v>1</v>
      </c>
      <c r="D405" s="1">
        <v>42064</v>
      </c>
      <c r="E405">
        <v>20.5</v>
      </c>
      <c r="F405">
        <v>20.5</v>
      </c>
      <c r="G405" t="s">
        <v>13</v>
      </c>
      <c r="H405" t="s">
        <v>10</v>
      </c>
      <c r="I405" t="s">
        <v>38</v>
      </c>
    </row>
    <row r="406" spans="1:9" x14ac:dyDescent="0.35">
      <c r="A406">
        <v>374</v>
      </c>
      <c r="B406">
        <v>156</v>
      </c>
      <c r="C406">
        <v>1</v>
      </c>
      <c r="D406" s="1">
        <v>42064</v>
      </c>
      <c r="E406">
        <v>16</v>
      </c>
      <c r="F406">
        <v>16</v>
      </c>
      <c r="G406" t="s">
        <v>9</v>
      </c>
      <c r="H406" t="s">
        <v>10</v>
      </c>
      <c r="I406" t="s">
        <v>38</v>
      </c>
    </row>
    <row r="407" spans="1:9" x14ac:dyDescent="0.35">
      <c r="A407">
        <v>405</v>
      </c>
      <c r="B407">
        <v>171</v>
      </c>
      <c r="C407">
        <v>1</v>
      </c>
      <c r="D407" s="1">
        <v>42064</v>
      </c>
      <c r="E407">
        <v>16</v>
      </c>
      <c r="F407">
        <v>16</v>
      </c>
      <c r="G407" t="s">
        <v>9</v>
      </c>
      <c r="H407" t="s">
        <v>10</v>
      </c>
      <c r="I407" t="s">
        <v>38</v>
      </c>
    </row>
    <row r="408" spans="1:9" x14ac:dyDescent="0.35">
      <c r="A408">
        <v>430</v>
      </c>
      <c r="B408">
        <v>183</v>
      </c>
      <c r="C408">
        <v>1</v>
      </c>
      <c r="D408" s="1">
        <v>42064</v>
      </c>
      <c r="E408">
        <v>16</v>
      </c>
      <c r="F408">
        <v>16</v>
      </c>
      <c r="G408" t="s">
        <v>9</v>
      </c>
      <c r="H408" t="s">
        <v>10</v>
      </c>
      <c r="I408" t="s">
        <v>38</v>
      </c>
    </row>
    <row r="409" spans="1:9" x14ac:dyDescent="0.35">
      <c r="A409">
        <v>406</v>
      </c>
      <c r="B409">
        <v>172</v>
      </c>
      <c r="C409">
        <v>1</v>
      </c>
      <c r="D409" s="1">
        <v>42064</v>
      </c>
      <c r="E409">
        <v>12</v>
      </c>
      <c r="F409">
        <v>12</v>
      </c>
      <c r="G409" t="s">
        <v>22</v>
      </c>
      <c r="H409" t="s">
        <v>10</v>
      </c>
      <c r="I409" t="s">
        <v>38</v>
      </c>
    </row>
    <row r="410" spans="1:9" x14ac:dyDescent="0.35">
      <c r="A410">
        <v>419</v>
      </c>
      <c r="B410">
        <v>177</v>
      </c>
      <c r="C410">
        <v>1</v>
      </c>
      <c r="D410" s="1">
        <v>42064</v>
      </c>
      <c r="E410">
        <v>12</v>
      </c>
      <c r="F410">
        <v>12</v>
      </c>
      <c r="G410" t="s">
        <v>22</v>
      </c>
      <c r="H410" t="s">
        <v>10</v>
      </c>
      <c r="I410" t="s">
        <v>38</v>
      </c>
    </row>
    <row r="411" spans="1:9" x14ac:dyDescent="0.35">
      <c r="A411">
        <v>373</v>
      </c>
      <c r="B411">
        <v>155</v>
      </c>
      <c r="C411">
        <v>1</v>
      </c>
      <c r="D411" s="1">
        <v>42064</v>
      </c>
      <c r="E411">
        <v>20.75</v>
      </c>
      <c r="F411">
        <v>20.75</v>
      </c>
      <c r="G411" t="s">
        <v>13</v>
      </c>
      <c r="H411" t="s">
        <v>16</v>
      </c>
      <c r="I411" t="s">
        <v>42</v>
      </c>
    </row>
    <row r="412" spans="1:9" x14ac:dyDescent="0.35">
      <c r="A412">
        <v>421</v>
      </c>
      <c r="B412">
        <v>178</v>
      </c>
      <c r="C412">
        <v>1</v>
      </c>
      <c r="D412" s="1">
        <v>42064</v>
      </c>
      <c r="E412">
        <v>20.75</v>
      </c>
      <c r="F412">
        <v>20.75</v>
      </c>
      <c r="G412" t="s">
        <v>13</v>
      </c>
      <c r="H412" t="s">
        <v>16</v>
      </c>
      <c r="I412" t="s">
        <v>42</v>
      </c>
    </row>
    <row r="413" spans="1:9" x14ac:dyDescent="0.35">
      <c r="A413">
        <v>429</v>
      </c>
      <c r="B413">
        <v>182</v>
      </c>
      <c r="C413">
        <v>1</v>
      </c>
      <c r="D413" s="1">
        <v>42064</v>
      </c>
      <c r="E413">
        <v>20.75</v>
      </c>
      <c r="F413">
        <v>20.75</v>
      </c>
      <c r="G413" t="s">
        <v>13</v>
      </c>
      <c r="H413" t="s">
        <v>16</v>
      </c>
      <c r="I413" t="s">
        <v>42</v>
      </c>
    </row>
    <row r="414" spans="1:9" x14ac:dyDescent="0.35">
      <c r="A414">
        <v>444</v>
      </c>
      <c r="B414">
        <v>188</v>
      </c>
      <c r="C414">
        <v>1</v>
      </c>
      <c r="D414" s="1">
        <v>42064</v>
      </c>
      <c r="E414">
        <v>20.75</v>
      </c>
      <c r="F414">
        <v>20.75</v>
      </c>
      <c r="G414" t="s">
        <v>13</v>
      </c>
      <c r="H414" t="s">
        <v>16</v>
      </c>
      <c r="I414" t="s">
        <v>42</v>
      </c>
    </row>
    <row r="415" spans="1:9" x14ac:dyDescent="0.35">
      <c r="A415">
        <v>418</v>
      </c>
      <c r="B415">
        <v>176</v>
      </c>
      <c r="C415">
        <v>1</v>
      </c>
      <c r="D415" s="1">
        <v>42064</v>
      </c>
      <c r="E415">
        <v>16.5</v>
      </c>
      <c r="F415">
        <v>16.5</v>
      </c>
      <c r="G415" t="s">
        <v>9</v>
      </c>
      <c r="H415" t="s">
        <v>16</v>
      </c>
      <c r="I415" t="s">
        <v>42</v>
      </c>
    </row>
    <row r="416" spans="1:9" x14ac:dyDescent="0.35">
      <c r="A416">
        <v>338</v>
      </c>
      <c r="B416">
        <v>143</v>
      </c>
      <c r="C416">
        <v>1</v>
      </c>
      <c r="D416" s="1">
        <v>42064</v>
      </c>
      <c r="E416">
        <v>15.25</v>
      </c>
      <c r="F416">
        <v>15.25</v>
      </c>
      <c r="G416" t="s">
        <v>13</v>
      </c>
      <c r="H416" t="s">
        <v>10</v>
      </c>
      <c r="I416" t="s">
        <v>33</v>
      </c>
    </row>
    <row r="417" spans="1:9" x14ac:dyDescent="0.35">
      <c r="A417">
        <v>372</v>
      </c>
      <c r="B417">
        <v>155</v>
      </c>
      <c r="C417">
        <v>1</v>
      </c>
      <c r="D417" s="1">
        <v>42064</v>
      </c>
      <c r="E417">
        <v>15.25</v>
      </c>
      <c r="F417">
        <v>15.25</v>
      </c>
      <c r="G417" t="s">
        <v>13</v>
      </c>
      <c r="H417" t="s">
        <v>10</v>
      </c>
      <c r="I417" t="s">
        <v>33</v>
      </c>
    </row>
    <row r="418" spans="1:9" x14ac:dyDescent="0.35">
      <c r="A418">
        <v>390</v>
      </c>
      <c r="B418">
        <v>163</v>
      </c>
      <c r="C418">
        <v>1</v>
      </c>
      <c r="D418" s="1">
        <v>42064</v>
      </c>
      <c r="E418">
        <v>15.25</v>
      </c>
      <c r="F418">
        <v>15.25</v>
      </c>
      <c r="G418" t="s">
        <v>13</v>
      </c>
      <c r="H418" t="s">
        <v>10</v>
      </c>
      <c r="I418" t="s">
        <v>33</v>
      </c>
    </row>
    <row r="419" spans="1:9" x14ac:dyDescent="0.35">
      <c r="A419">
        <v>361</v>
      </c>
      <c r="B419">
        <v>150</v>
      </c>
      <c r="C419">
        <v>1</v>
      </c>
      <c r="D419" s="1">
        <v>42064</v>
      </c>
      <c r="E419">
        <v>12.5</v>
      </c>
      <c r="F419">
        <v>12.5</v>
      </c>
      <c r="G419" t="s">
        <v>9</v>
      </c>
      <c r="H419" t="s">
        <v>10</v>
      </c>
      <c r="I419" t="s">
        <v>33</v>
      </c>
    </row>
    <row r="420" spans="1:9" x14ac:dyDescent="0.35">
      <c r="A420">
        <v>393</v>
      </c>
      <c r="B420">
        <v>164</v>
      </c>
      <c r="C420">
        <v>1</v>
      </c>
      <c r="D420" s="1">
        <v>42064</v>
      </c>
      <c r="E420">
        <v>12.5</v>
      </c>
      <c r="F420">
        <v>12.5</v>
      </c>
      <c r="G420" t="s">
        <v>9</v>
      </c>
      <c r="H420" t="s">
        <v>10</v>
      </c>
      <c r="I420" t="s">
        <v>33</v>
      </c>
    </row>
    <row r="421" spans="1:9" x14ac:dyDescent="0.35">
      <c r="A421">
        <v>398</v>
      </c>
      <c r="B421">
        <v>167</v>
      </c>
      <c r="C421">
        <v>1</v>
      </c>
      <c r="D421" s="1">
        <v>42064</v>
      </c>
      <c r="E421">
        <v>12.5</v>
      </c>
      <c r="F421">
        <v>12.5</v>
      </c>
      <c r="G421" t="s">
        <v>9</v>
      </c>
      <c r="H421" t="s">
        <v>10</v>
      </c>
      <c r="I421" t="s">
        <v>33</v>
      </c>
    </row>
    <row r="422" spans="1:9" x14ac:dyDescent="0.35">
      <c r="A422">
        <v>323</v>
      </c>
      <c r="B422">
        <v>137</v>
      </c>
      <c r="C422">
        <v>1</v>
      </c>
      <c r="D422" s="1">
        <v>42064</v>
      </c>
      <c r="E422">
        <v>9.75</v>
      </c>
      <c r="F422">
        <v>9.75</v>
      </c>
      <c r="G422" t="s">
        <v>22</v>
      </c>
      <c r="H422" t="s">
        <v>10</v>
      </c>
      <c r="I422" t="s">
        <v>33</v>
      </c>
    </row>
    <row r="423" spans="1:9" x14ac:dyDescent="0.35">
      <c r="A423">
        <v>443</v>
      </c>
      <c r="B423">
        <v>188</v>
      </c>
      <c r="C423">
        <v>1</v>
      </c>
      <c r="D423" s="1">
        <v>42064</v>
      </c>
      <c r="E423">
        <v>9.75</v>
      </c>
      <c r="F423">
        <v>9.75</v>
      </c>
      <c r="G423" t="s">
        <v>22</v>
      </c>
      <c r="H423" t="s">
        <v>10</v>
      </c>
      <c r="I423" t="s">
        <v>33</v>
      </c>
    </row>
    <row r="424" spans="1:9" x14ac:dyDescent="0.35">
      <c r="A424">
        <v>348</v>
      </c>
      <c r="B424">
        <v>144</v>
      </c>
      <c r="C424">
        <v>1</v>
      </c>
      <c r="D424" s="1">
        <v>42064</v>
      </c>
      <c r="E424">
        <v>11</v>
      </c>
      <c r="F424">
        <v>11</v>
      </c>
      <c r="G424" t="s">
        <v>22</v>
      </c>
      <c r="H424" t="s">
        <v>10</v>
      </c>
      <c r="I424" t="s">
        <v>46</v>
      </c>
    </row>
    <row r="425" spans="1:9" x14ac:dyDescent="0.35">
      <c r="A425">
        <v>449</v>
      </c>
      <c r="B425">
        <v>190</v>
      </c>
      <c r="C425">
        <v>1</v>
      </c>
      <c r="D425" s="1">
        <v>42064</v>
      </c>
      <c r="E425">
        <v>11</v>
      </c>
      <c r="F425">
        <v>11</v>
      </c>
      <c r="G425" t="s">
        <v>22</v>
      </c>
      <c r="H425" t="s">
        <v>10</v>
      </c>
      <c r="I425" t="s">
        <v>46</v>
      </c>
    </row>
    <row r="426" spans="1:9" x14ac:dyDescent="0.35">
      <c r="A426">
        <v>426</v>
      </c>
      <c r="B426">
        <v>180</v>
      </c>
      <c r="C426">
        <v>1</v>
      </c>
      <c r="D426" s="1">
        <v>42064</v>
      </c>
      <c r="E426">
        <v>20.75</v>
      </c>
      <c r="F426">
        <v>20.75</v>
      </c>
      <c r="G426" t="s">
        <v>13</v>
      </c>
      <c r="H426" t="s">
        <v>16</v>
      </c>
      <c r="I426" t="s">
        <v>21</v>
      </c>
    </row>
    <row r="427" spans="1:9" x14ac:dyDescent="0.35">
      <c r="A427">
        <v>450</v>
      </c>
      <c r="B427">
        <v>190</v>
      </c>
      <c r="C427">
        <v>1</v>
      </c>
      <c r="D427" s="1">
        <v>42064</v>
      </c>
      <c r="E427">
        <v>20.75</v>
      </c>
      <c r="F427">
        <v>20.75</v>
      </c>
      <c r="G427" t="s">
        <v>13</v>
      </c>
      <c r="H427" t="s">
        <v>16</v>
      </c>
      <c r="I427" t="s">
        <v>21</v>
      </c>
    </row>
    <row r="428" spans="1:9" x14ac:dyDescent="0.35">
      <c r="A428">
        <v>394</v>
      </c>
      <c r="B428">
        <v>165</v>
      </c>
      <c r="C428">
        <v>1</v>
      </c>
      <c r="D428" s="1">
        <v>42064</v>
      </c>
      <c r="E428">
        <v>16.5</v>
      </c>
      <c r="F428">
        <v>16.5</v>
      </c>
      <c r="G428" t="s">
        <v>9</v>
      </c>
      <c r="H428" t="s">
        <v>16</v>
      </c>
      <c r="I428" t="s">
        <v>21</v>
      </c>
    </row>
    <row r="429" spans="1:9" x14ac:dyDescent="0.35">
      <c r="A429">
        <v>330</v>
      </c>
      <c r="B429">
        <v>140</v>
      </c>
      <c r="C429">
        <v>1</v>
      </c>
      <c r="D429" s="1">
        <v>42064</v>
      </c>
      <c r="E429">
        <v>12.5</v>
      </c>
      <c r="F429">
        <v>12.5</v>
      </c>
      <c r="G429" t="s">
        <v>22</v>
      </c>
      <c r="H429" t="s">
        <v>16</v>
      </c>
      <c r="I429" t="s">
        <v>21</v>
      </c>
    </row>
    <row r="430" spans="1:9" x14ac:dyDescent="0.35">
      <c r="A430">
        <v>339</v>
      </c>
      <c r="B430">
        <v>143</v>
      </c>
      <c r="C430">
        <v>1</v>
      </c>
      <c r="D430" s="1">
        <v>42064</v>
      </c>
      <c r="E430">
        <v>12.5</v>
      </c>
      <c r="F430">
        <v>12.5</v>
      </c>
      <c r="G430" t="s">
        <v>22</v>
      </c>
      <c r="H430" t="s">
        <v>16</v>
      </c>
      <c r="I430" t="s">
        <v>21</v>
      </c>
    </row>
    <row r="431" spans="1:9" x14ac:dyDescent="0.35">
      <c r="A431">
        <v>369</v>
      </c>
      <c r="B431">
        <v>154</v>
      </c>
      <c r="C431">
        <v>1</v>
      </c>
      <c r="D431" s="1">
        <v>42064</v>
      </c>
      <c r="E431">
        <v>12.5</v>
      </c>
      <c r="F431">
        <v>12.5</v>
      </c>
      <c r="G431" t="s">
        <v>22</v>
      </c>
      <c r="H431" t="s">
        <v>16</v>
      </c>
      <c r="I431" t="s">
        <v>21</v>
      </c>
    </row>
    <row r="432" spans="1:9" x14ac:dyDescent="0.35">
      <c r="A432">
        <v>395</v>
      </c>
      <c r="B432">
        <v>166</v>
      </c>
      <c r="C432">
        <v>1</v>
      </c>
      <c r="D432" s="1">
        <v>42064</v>
      </c>
      <c r="E432">
        <v>12.5</v>
      </c>
      <c r="F432">
        <v>12.5</v>
      </c>
      <c r="G432" t="s">
        <v>22</v>
      </c>
      <c r="H432" t="s">
        <v>16</v>
      </c>
      <c r="I432" t="s">
        <v>21</v>
      </c>
    </row>
    <row r="433" spans="1:9" x14ac:dyDescent="0.35">
      <c r="A433">
        <v>328</v>
      </c>
      <c r="B433">
        <v>138</v>
      </c>
      <c r="C433">
        <v>1</v>
      </c>
      <c r="D433" s="1">
        <v>42064</v>
      </c>
      <c r="E433">
        <v>16.25</v>
      </c>
      <c r="F433">
        <v>16.25</v>
      </c>
      <c r="G433" t="s">
        <v>9</v>
      </c>
      <c r="H433" t="s">
        <v>16</v>
      </c>
      <c r="I433" t="s">
        <v>44</v>
      </c>
    </row>
    <row r="434" spans="1:9" x14ac:dyDescent="0.35">
      <c r="A434">
        <v>378</v>
      </c>
      <c r="B434">
        <v>157</v>
      </c>
      <c r="C434">
        <v>1</v>
      </c>
      <c r="D434" s="1">
        <v>42064</v>
      </c>
      <c r="E434">
        <v>16.25</v>
      </c>
      <c r="F434">
        <v>16.25</v>
      </c>
      <c r="G434" t="s">
        <v>9</v>
      </c>
      <c r="H434" t="s">
        <v>16</v>
      </c>
      <c r="I434" t="s">
        <v>44</v>
      </c>
    </row>
    <row r="435" spans="1:9" x14ac:dyDescent="0.35">
      <c r="A435">
        <v>403</v>
      </c>
      <c r="B435">
        <v>169</v>
      </c>
      <c r="C435">
        <v>1</v>
      </c>
      <c r="D435" s="1">
        <v>42064</v>
      </c>
      <c r="E435">
        <v>16.25</v>
      </c>
      <c r="F435">
        <v>16.25</v>
      </c>
      <c r="G435" t="s">
        <v>9</v>
      </c>
      <c r="H435" t="s">
        <v>16</v>
      </c>
      <c r="I435" t="s">
        <v>44</v>
      </c>
    </row>
    <row r="436" spans="1:9" x14ac:dyDescent="0.35">
      <c r="A436">
        <v>423</v>
      </c>
      <c r="B436">
        <v>179</v>
      </c>
      <c r="C436">
        <v>1</v>
      </c>
      <c r="D436" s="1">
        <v>42064</v>
      </c>
      <c r="E436">
        <v>16.25</v>
      </c>
      <c r="F436">
        <v>16.25</v>
      </c>
      <c r="G436" t="s">
        <v>9</v>
      </c>
      <c r="H436" t="s">
        <v>16</v>
      </c>
      <c r="I436" t="s">
        <v>44</v>
      </c>
    </row>
    <row r="437" spans="1:9" x14ac:dyDescent="0.35">
      <c r="A437">
        <v>434</v>
      </c>
      <c r="B437">
        <v>185</v>
      </c>
      <c r="C437">
        <v>1</v>
      </c>
      <c r="D437" s="1">
        <v>42064</v>
      </c>
      <c r="E437">
        <v>16.25</v>
      </c>
      <c r="F437">
        <v>16.25</v>
      </c>
      <c r="G437" t="s">
        <v>9</v>
      </c>
      <c r="H437" t="s">
        <v>16</v>
      </c>
      <c r="I437" t="s">
        <v>44</v>
      </c>
    </row>
    <row r="438" spans="1:9" x14ac:dyDescent="0.35">
      <c r="A438">
        <v>453</v>
      </c>
      <c r="B438">
        <v>192</v>
      </c>
      <c r="C438">
        <v>1</v>
      </c>
      <c r="D438" s="1">
        <v>42064</v>
      </c>
      <c r="E438">
        <v>12.25</v>
      </c>
      <c r="F438">
        <v>12.25</v>
      </c>
      <c r="G438" t="s">
        <v>22</v>
      </c>
      <c r="H438" t="s">
        <v>16</v>
      </c>
      <c r="I438" t="s">
        <v>44</v>
      </c>
    </row>
    <row r="439" spans="1:9" x14ac:dyDescent="0.35">
      <c r="A439">
        <v>460</v>
      </c>
      <c r="B439">
        <v>196</v>
      </c>
      <c r="C439">
        <v>1</v>
      </c>
      <c r="D439" s="1">
        <v>42064</v>
      </c>
      <c r="E439">
        <v>12.25</v>
      </c>
      <c r="F439">
        <v>12.25</v>
      </c>
      <c r="G439" t="s">
        <v>22</v>
      </c>
      <c r="H439" t="s">
        <v>16</v>
      </c>
      <c r="I439" t="s">
        <v>44</v>
      </c>
    </row>
    <row r="440" spans="1:9" x14ac:dyDescent="0.35">
      <c r="A440">
        <v>466</v>
      </c>
      <c r="B440">
        <v>197</v>
      </c>
      <c r="C440">
        <v>1</v>
      </c>
      <c r="D440" s="1">
        <v>42064</v>
      </c>
      <c r="E440">
        <v>20.75</v>
      </c>
      <c r="F440">
        <v>20.75</v>
      </c>
      <c r="G440" t="s">
        <v>13</v>
      </c>
      <c r="H440" t="s">
        <v>16</v>
      </c>
      <c r="I440" t="s">
        <v>36</v>
      </c>
    </row>
    <row r="441" spans="1:9" x14ac:dyDescent="0.35">
      <c r="A441">
        <v>349</v>
      </c>
      <c r="B441">
        <v>144</v>
      </c>
      <c r="C441">
        <v>1</v>
      </c>
      <c r="D441" s="1">
        <v>42064</v>
      </c>
      <c r="E441">
        <v>20.75</v>
      </c>
      <c r="F441">
        <v>20.75</v>
      </c>
      <c r="G441" t="s">
        <v>13</v>
      </c>
      <c r="H441" t="s">
        <v>19</v>
      </c>
      <c r="I441" t="s">
        <v>31</v>
      </c>
    </row>
    <row r="442" spans="1:9" x14ac:dyDescent="0.35">
      <c r="A442">
        <v>362</v>
      </c>
      <c r="B442">
        <v>151</v>
      </c>
      <c r="C442">
        <v>1</v>
      </c>
      <c r="D442" s="1">
        <v>42064</v>
      </c>
      <c r="E442">
        <v>20.75</v>
      </c>
      <c r="F442">
        <v>20.75</v>
      </c>
      <c r="G442" t="s">
        <v>13</v>
      </c>
      <c r="H442" t="s">
        <v>19</v>
      </c>
      <c r="I442" t="s">
        <v>31</v>
      </c>
    </row>
    <row r="443" spans="1:9" x14ac:dyDescent="0.35">
      <c r="A443">
        <v>437</v>
      </c>
      <c r="B443">
        <v>186</v>
      </c>
      <c r="C443">
        <v>1</v>
      </c>
      <c r="D443" s="1">
        <v>42064</v>
      </c>
      <c r="E443">
        <v>20.75</v>
      </c>
      <c r="F443">
        <v>20.75</v>
      </c>
      <c r="G443" t="s">
        <v>13</v>
      </c>
      <c r="H443" t="s">
        <v>19</v>
      </c>
      <c r="I443" t="s">
        <v>31</v>
      </c>
    </row>
    <row r="444" spans="1:9" x14ac:dyDescent="0.35">
      <c r="A444">
        <v>454</v>
      </c>
      <c r="B444">
        <v>192</v>
      </c>
      <c r="C444">
        <v>1</v>
      </c>
      <c r="D444" s="1">
        <v>42064</v>
      </c>
      <c r="E444">
        <v>20.75</v>
      </c>
      <c r="F444">
        <v>20.75</v>
      </c>
      <c r="G444" t="s">
        <v>13</v>
      </c>
      <c r="H444" t="s">
        <v>19</v>
      </c>
      <c r="I444" t="s">
        <v>31</v>
      </c>
    </row>
    <row r="445" spans="1:9" x14ac:dyDescent="0.35">
      <c r="A445">
        <v>350</v>
      </c>
      <c r="B445">
        <v>144</v>
      </c>
      <c r="C445">
        <v>1</v>
      </c>
      <c r="D445" s="1">
        <v>42064</v>
      </c>
      <c r="E445">
        <v>12.75</v>
      </c>
      <c r="F445">
        <v>12.75</v>
      </c>
      <c r="G445" t="s">
        <v>22</v>
      </c>
      <c r="H445" t="s">
        <v>19</v>
      </c>
      <c r="I445" t="s">
        <v>31</v>
      </c>
    </row>
    <row r="446" spans="1:9" x14ac:dyDescent="0.35">
      <c r="A446">
        <v>351</v>
      </c>
      <c r="B446">
        <v>144</v>
      </c>
      <c r="C446">
        <v>1</v>
      </c>
      <c r="D446" s="1">
        <v>42064</v>
      </c>
      <c r="E446">
        <v>20.75</v>
      </c>
      <c r="F446">
        <v>20.75</v>
      </c>
      <c r="G446" t="s">
        <v>13</v>
      </c>
      <c r="H446" t="s">
        <v>16</v>
      </c>
      <c r="I446" t="s">
        <v>28</v>
      </c>
    </row>
    <row r="447" spans="1:9" x14ac:dyDescent="0.35">
      <c r="A447">
        <v>324</v>
      </c>
      <c r="B447">
        <v>137</v>
      </c>
      <c r="C447">
        <v>1</v>
      </c>
      <c r="D447" s="1">
        <v>42064</v>
      </c>
      <c r="E447">
        <v>16.5</v>
      </c>
      <c r="F447">
        <v>16.5</v>
      </c>
      <c r="G447" t="s">
        <v>9</v>
      </c>
      <c r="H447" t="s">
        <v>16</v>
      </c>
      <c r="I447" t="s">
        <v>28</v>
      </c>
    </row>
    <row r="448" spans="1:9" x14ac:dyDescent="0.35">
      <c r="A448">
        <v>386</v>
      </c>
      <c r="B448">
        <v>161</v>
      </c>
      <c r="C448">
        <v>1</v>
      </c>
      <c r="D448" s="1">
        <v>42064</v>
      </c>
      <c r="E448">
        <v>16.5</v>
      </c>
      <c r="F448">
        <v>16.5</v>
      </c>
      <c r="G448" t="s">
        <v>9</v>
      </c>
      <c r="H448" t="s">
        <v>16</v>
      </c>
      <c r="I448" t="s">
        <v>28</v>
      </c>
    </row>
    <row r="449" spans="1:9" x14ac:dyDescent="0.35">
      <c r="A449">
        <v>461</v>
      </c>
      <c r="B449">
        <v>196</v>
      </c>
      <c r="C449">
        <v>1</v>
      </c>
      <c r="D449" s="1">
        <v>42064</v>
      </c>
      <c r="E449">
        <v>16.5</v>
      </c>
      <c r="F449">
        <v>16.5</v>
      </c>
      <c r="G449" t="s">
        <v>9</v>
      </c>
      <c r="H449" t="s">
        <v>16</v>
      </c>
      <c r="I449" t="s">
        <v>28</v>
      </c>
    </row>
    <row r="450" spans="1:9" x14ac:dyDescent="0.35">
      <c r="A450">
        <v>365</v>
      </c>
      <c r="B450">
        <v>152</v>
      </c>
      <c r="C450">
        <v>1</v>
      </c>
      <c r="D450" s="1">
        <v>42064</v>
      </c>
      <c r="E450">
        <v>20.25</v>
      </c>
      <c r="F450">
        <v>20.25</v>
      </c>
      <c r="G450" t="s">
        <v>13</v>
      </c>
      <c r="H450" t="s">
        <v>14</v>
      </c>
      <c r="I450" t="s">
        <v>43</v>
      </c>
    </row>
    <row r="451" spans="1:9" x14ac:dyDescent="0.35">
      <c r="A451">
        <v>360</v>
      </c>
      <c r="B451">
        <v>149</v>
      </c>
      <c r="C451">
        <v>1</v>
      </c>
      <c r="D451" s="1">
        <v>42064</v>
      </c>
      <c r="E451">
        <v>16</v>
      </c>
      <c r="F451">
        <v>16</v>
      </c>
      <c r="G451" t="s">
        <v>9</v>
      </c>
      <c r="H451" t="s">
        <v>14</v>
      </c>
      <c r="I451" t="s">
        <v>43</v>
      </c>
    </row>
    <row r="452" spans="1:9" x14ac:dyDescent="0.35">
      <c r="A452">
        <v>431</v>
      </c>
      <c r="B452">
        <v>183</v>
      </c>
      <c r="C452">
        <v>1</v>
      </c>
      <c r="D452" s="1">
        <v>42064</v>
      </c>
      <c r="E452">
        <v>20.75</v>
      </c>
      <c r="F452">
        <v>20.75</v>
      </c>
      <c r="G452" t="s">
        <v>13</v>
      </c>
      <c r="H452" t="s">
        <v>14</v>
      </c>
      <c r="I452" t="s">
        <v>29</v>
      </c>
    </row>
    <row r="453" spans="1:9" x14ac:dyDescent="0.35">
      <c r="A453">
        <v>438</v>
      </c>
      <c r="B453">
        <v>186</v>
      </c>
      <c r="C453">
        <v>1</v>
      </c>
      <c r="D453" s="1">
        <v>42064</v>
      </c>
      <c r="E453">
        <v>20.75</v>
      </c>
      <c r="F453">
        <v>20.75</v>
      </c>
      <c r="G453" t="s">
        <v>13</v>
      </c>
      <c r="H453" t="s">
        <v>14</v>
      </c>
      <c r="I453" t="s">
        <v>29</v>
      </c>
    </row>
    <row r="454" spans="1:9" x14ac:dyDescent="0.35">
      <c r="A454">
        <v>441</v>
      </c>
      <c r="B454">
        <v>187</v>
      </c>
      <c r="C454">
        <v>1</v>
      </c>
      <c r="D454" s="1">
        <v>42064</v>
      </c>
      <c r="E454">
        <v>20.75</v>
      </c>
      <c r="F454">
        <v>20.75</v>
      </c>
      <c r="G454" t="s">
        <v>13</v>
      </c>
      <c r="H454" t="s">
        <v>14</v>
      </c>
      <c r="I454" t="s">
        <v>29</v>
      </c>
    </row>
    <row r="455" spans="1:9" x14ac:dyDescent="0.35">
      <c r="A455">
        <v>379</v>
      </c>
      <c r="B455">
        <v>157</v>
      </c>
      <c r="C455">
        <v>1</v>
      </c>
      <c r="D455" s="1">
        <v>42064</v>
      </c>
      <c r="E455">
        <v>16.5</v>
      </c>
      <c r="F455">
        <v>16.5</v>
      </c>
      <c r="G455" t="s">
        <v>9</v>
      </c>
      <c r="H455" t="s">
        <v>14</v>
      </c>
      <c r="I455" t="s">
        <v>29</v>
      </c>
    </row>
    <row r="456" spans="1:9" x14ac:dyDescent="0.35">
      <c r="A456">
        <v>432</v>
      </c>
      <c r="B456">
        <v>183</v>
      </c>
      <c r="C456">
        <v>1</v>
      </c>
      <c r="D456" s="1">
        <v>42064</v>
      </c>
      <c r="E456">
        <v>12.5</v>
      </c>
      <c r="F456">
        <v>12.5</v>
      </c>
      <c r="G456" t="s">
        <v>22</v>
      </c>
      <c r="H456" t="s">
        <v>14</v>
      </c>
      <c r="I456" t="s">
        <v>29</v>
      </c>
    </row>
    <row r="457" spans="1:9" x14ac:dyDescent="0.35">
      <c r="A457">
        <v>435</v>
      </c>
      <c r="B457">
        <v>185</v>
      </c>
      <c r="C457">
        <v>1</v>
      </c>
      <c r="D457" s="1">
        <v>42064</v>
      </c>
      <c r="E457">
        <v>12.5</v>
      </c>
      <c r="F457">
        <v>12.5</v>
      </c>
      <c r="G457" t="s">
        <v>22</v>
      </c>
      <c r="H457" t="s">
        <v>14</v>
      </c>
      <c r="I457" t="s">
        <v>29</v>
      </c>
    </row>
    <row r="458" spans="1:9" x14ac:dyDescent="0.35">
      <c r="A458">
        <v>407</v>
      </c>
      <c r="B458">
        <v>172</v>
      </c>
      <c r="C458">
        <v>1</v>
      </c>
      <c r="D458" s="1">
        <v>42064</v>
      </c>
      <c r="E458">
        <v>16.5</v>
      </c>
      <c r="F458">
        <v>16.5</v>
      </c>
      <c r="G458" t="s">
        <v>9</v>
      </c>
      <c r="H458" t="s">
        <v>16</v>
      </c>
      <c r="I458" t="s">
        <v>25</v>
      </c>
    </row>
    <row r="459" spans="1:9" x14ac:dyDescent="0.35">
      <c r="A459">
        <v>363</v>
      </c>
      <c r="B459">
        <v>151</v>
      </c>
      <c r="C459">
        <v>1</v>
      </c>
      <c r="D459" s="1">
        <v>42064</v>
      </c>
      <c r="E459">
        <v>12.5</v>
      </c>
      <c r="F459">
        <v>12.5</v>
      </c>
      <c r="G459" t="s">
        <v>22</v>
      </c>
      <c r="H459" t="s">
        <v>16</v>
      </c>
      <c r="I459" t="s">
        <v>25</v>
      </c>
    </row>
    <row r="460" spans="1:9" x14ac:dyDescent="0.35">
      <c r="A460">
        <v>340</v>
      </c>
      <c r="B460">
        <v>143</v>
      </c>
      <c r="C460">
        <v>1</v>
      </c>
      <c r="D460" s="1">
        <v>42064</v>
      </c>
      <c r="E460">
        <v>20.75</v>
      </c>
      <c r="F460">
        <v>20.75</v>
      </c>
      <c r="G460" t="s">
        <v>13</v>
      </c>
      <c r="H460" t="s">
        <v>19</v>
      </c>
      <c r="I460" t="s">
        <v>20</v>
      </c>
    </row>
    <row r="461" spans="1:9" x14ac:dyDescent="0.35">
      <c r="A461">
        <v>375</v>
      </c>
      <c r="B461">
        <v>156</v>
      </c>
      <c r="C461">
        <v>1</v>
      </c>
      <c r="D461" s="1">
        <v>42064</v>
      </c>
      <c r="E461">
        <v>20.75</v>
      </c>
      <c r="F461">
        <v>20.75</v>
      </c>
      <c r="G461" t="s">
        <v>13</v>
      </c>
      <c r="H461" t="s">
        <v>19</v>
      </c>
      <c r="I461" t="s">
        <v>20</v>
      </c>
    </row>
    <row r="462" spans="1:9" x14ac:dyDescent="0.35">
      <c r="A462">
        <v>408</v>
      </c>
      <c r="B462">
        <v>172</v>
      </c>
      <c r="C462">
        <v>1</v>
      </c>
      <c r="D462" s="1">
        <v>42064</v>
      </c>
      <c r="E462">
        <v>20.75</v>
      </c>
      <c r="F462">
        <v>20.75</v>
      </c>
      <c r="G462" t="s">
        <v>13</v>
      </c>
      <c r="H462" t="s">
        <v>19</v>
      </c>
      <c r="I462" t="s">
        <v>20</v>
      </c>
    </row>
    <row r="463" spans="1:9" x14ac:dyDescent="0.35">
      <c r="A463">
        <v>420</v>
      </c>
      <c r="B463">
        <v>177</v>
      </c>
      <c r="C463">
        <v>1</v>
      </c>
      <c r="D463" s="1">
        <v>42064</v>
      </c>
      <c r="E463">
        <v>20.75</v>
      </c>
      <c r="F463">
        <v>20.75</v>
      </c>
      <c r="G463" t="s">
        <v>13</v>
      </c>
      <c r="H463" t="s">
        <v>19</v>
      </c>
      <c r="I463" t="s">
        <v>20</v>
      </c>
    </row>
    <row r="464" spans="1:9" x14ac:dyDescent="0.35">
      <c r="A464">
        <v>439</v>
      </c>
      <c r="B464">
        <v>186</v>
      </c>
      <c r="C464">
        <v>1</v>
      </c>
      <c r="D464" s="1">
        <v>42064</v>
      </c>
      <c r="E464">
        <v>20.75</v>
      </c>
      <c r="F464">
        <v>20.75</v>
      </c>
      <c r="G464" t="s">
        <v>13</v>
      </c>
      <c r="H464" t="s">
        <v>19</v>
      </c>
      <c r="I464" t="s">
        <v>20</v>
      </c>
    </row>
    <row r="465" spans="1:9" x14ac:dyDescent="0.35">
      <c r="A465">
        <v>352</v>
      </c>
      <c r="B465">
        <v>144</v>
      </c>
      <c r="C465">
        <v>1</v>
      </c>
      <c r="D465" s="1">
        <v>42064</v>
      </c>
      <c r="E465">
        <v>16.75</v>
      </c>
      <c r="F465">
        <v>16.75</v>
      </c>
      <c r="G465" t="s">
        <v>9</v>
      </c>
      <c r="H465" t="s">
        <v>19</v>
      </c>
      <c r="I465" t="s">
        <v>20</v>
      </c>
    </row>
    <row r="466" spans="1:9" x14ac:dyDescent="0.35">
      <c r="A466">
        <v>381</v>
      </c>
      <c r="B466">
        <v>158</v>
      </c>
      <c r="C466">
        <v>1</v>
      </c>
      <c r="D466" s="1">
        <v>42064</v>
      </c>
      <c r="E466">
        <v>16.75</v>
      </c>
      <c r="F466">
        <v>16.75</v>
      </c>
      <c r="G466" t="s">
        <v>9</v>
      </c>
      <c r="H466" t="s">
        <v>19</v>
      </c>
      <c r="I466" t="s">
        <v>20</v>
      </c>
    </row>
    <row r="467" spans="1:9" x14ac:dyDescent="0.35">
      <c r="A467">
        <v>383</v>
      </c>
      <c r="B467">
        <v>159</v>
      </c>
      <c r="C467">
        <v>1</v>
      </c>
      <c r="D467" s="1">
        <v>42064</v>
      </c>
      <c r="E467">
        <v>16.75</v>
      </c>
      <c r="F467">
        <v>16.75</v>
      </c>
      <c r="G467" t="s">
        <v>9</v>
      </c>
      <c r="H467" t="s">
        <v>19</v>
      </c>
      <c r="I467" t="s">
        <v>20</v>
      </c>
    </row>
    <row r="468" spans="1:9" x14ac:dyDescent="0.35">
      <c r="A468">
        <v>366</v>
      </c>
      <c r="B468">
        <v>152</v>
      </c>
      <c r="C468">
        <v>1</v>
      </c>
      <c r="D468" s="1">
        <v>42064</v>
      </c>
      <c r="E468">
        <v>12.75</v>
      </c>
      <c r="F468">
        <v>12.75</v>
      </c>
      <c r="G468" t="s">
        <v>22</v>
      </c>
      <c r="H468" t="s">
        <v>19</v>
      </c>
      <c r="I468" t="s">
        <v>20</v>
      </c>
    </row>
    <row r="469" spans="1:9" x14ac:dyDescent="0.35">
      <c r="A469">
        <v>446</v>
      </c>
      <c r="B469">
        <v>189</v>
      </c>
      <c r="C469">
        <v>1</v>
      </c>
      <c r="D469" s="1">
        <v>42064</v>
      </c>
      <c r="E469">
        <v>12.75</v>
      </c>
      <c r="F469">
        <v>12.75</v>
      </c>
      <c r="G469" t="s">
        <v>22</v>
      </c>
      <c r="H469" t="s">
        <v>19</v>
      </c>
      <c r="I469" t="s">
        <v>20</v>
      </c>
    </row>
    <row r="470" spans="1:9" x14ac:dyDescent="0.35">
      <c r="A470">
        <v>353</v>
      </c>
      <c r="B470">
        <v>144</v>
      </c>
      <c r="C470">
        <v>1</v>
      </c>
      <c r="D470" s="1">
        <v>42064</v>
      </c>
      <c r="E470">
        <v>20.25</v>
      </c>
      <c r="F470">
        <v>20.25</v>
      </c>
      <c r="G470" t="s">
        <v>13</v>
      </c>
      <c r="H470" t="s">
        <v>14</v>
      </c>
      <c r="I470" t="s">
        <v>30</v>
      </c>
    </row>
    <row r="471" spans="1:9" x14ac:dyDescent="0.35">
      <c r="A471">
        <v>411</v>
      </c>
      <c r="B471">
        <v>173</v>
      </c>
      <c r="C471">
        <v>1</v>
      </c>
      <c r="D471" s="1">
        <v>42064</v>
      </c>
      <c r="E471">
        <v>20.25</v>
      </c>
      <c r="F471">
        <v>20.25</v>
      </c>
      <c r="G471" t="s">
        <v>13</v>
      </c>
      <c r="H471" t="s">
        <v>14</v>
      </c>
      <c r="I471" t="s">
        <v>30</v>
      </c>
    </row>
    <row r="472" spans="1:9" x14ac:dyDescent="0.35">
      <c r="A472">
        <v>331</v>
      </c>
      <c r="B472">
        <v>140</v>
      </c>
      <c r="C472">
        <v>1</v>
      </c>
      <c r="D472" s="1">
        <v>42064</v>
      </c>
      <c r="E472">
        <v>16</v>
      </c>
      <c r="F472">
        <v>16</v>
      </c>
      <c r="G472" t="s">
        <v>9</v>
      </c>
      <c r="H472" t="s">
        <v>14</v>
      </c>
      <c r="I472" t="s">
        <v>30</v>
      </c>
    </row>
    <row r="473" spans="1:9" x14ac:dyDescent="0.35">
      <c r="A473">
        <v>341</v>
      </c>
      <c r="B473">
        <v>143</v>
      </c>
      <c r="C473">
        <v>1</v>
      </c>
      <c r="D473" s="1">
        <v>42064</v>
      </c>
      <c r="E473">
        <v>16</v>
      </c>
      <c r="F473">
        <v>16</v>
      </c>
      <c r="G473" t="s">
        <v>9</v>
      </c>
      <c r="H473" t="s">
        <v>14</v>
      </c>
      <c r="I473" t="s">
        <v>30</v>
      </c>
    </row>
    <row r="474" spans="1:9" x14ac:dyDescent="0.35">
      <c r="A474">
        <v>400</v>
      </c>
      <c r="B474">
        <v>168</v>
      </c>
      <c r="C474">
        <v>1</v>
      </c>
      <c r="D474" s="1">
        <v>42064</v>
      </c>
      <c r="E474">
        <v>16</v>
      </c>
      <c r="F474">
        <v>16</v>
      </c>
      <c r="G474" t="s">
        <v>9</v>
      </c>
      <c r="H474" t="s">
        <v>14</v>
      </c>
      <c r="I474" t="s">
        <v>30</v>
      </c>
    </row>
    <row r="475" spans="1:9" x14ac:dyDescent="0.35">
      <c r="A475">
        <v>462</v>
      </c>
      <c r="B475">
        <v>196</v>
      </c>
      <c r="C475">
        <v>1</v>
      </c>
      <c r="D475" s="1">
        <v>42064</v>
      </c>
      <c r="E475">
        <v>16</v>
      </c>
      <c r="F475">
        <v>16</v>
      </c>
      <c r="G475" t="s">
        <v>9</v>
      </c>
      <c r="H475" t="s">
        <v>14</v>
      </c>
      <c r="I475" t="s">
        <v>30</v>
      </c>
    </row>
    <row r="476" spans="1:9" x14ac:dyDescent="0.35">
      <c r="A476">
        <v>424</v>
      </c>
      <c r="B476">
        <v>179</v>
      </c>
      <c r="C476">
        <v>1</v>
      </c>
      <c r="D476" s="1">
        <v>42064</v>
      </c>
      <c r="E476">
        <v>12</v>
      </c>
      <c r="F476">
        <v>12</v>
      </c>
      <c r="G476" t="s">
        <v>22</v>
      </c>
      <c r="H476" t="s">
        <v>14</v>
      </c>
      <c r="I476" t="s">
        <v>30</v>
      </c>
    </row>
    <row r="477" spans="1:9" x14ac:dyDescent="0.35">
      <c r="A477">
        <v>488</v>
      </c>
      <c r="B477">
        <v>208</v>
      </c>
      <c r="C477">
        <v>1</v>
      </c>
      <c r="D477" s="1">
        <v>42095</v>
      </c>
      <c r="E477">
        <v>20.75</v>
      </c>
      <c r="F477">
        <v>20.75</v>
      </c>
      <c r="G477" t="s">
        <v>13</v>
      </c>
      <c r="H477" t="s">
        <v>19</v>
      </c>
      <c r="I477" t="s">
        <v>23</v>
      </c>
    </row>
    <row r="478" spans="1:9" x14ac:dyDescent="0.35">
      <c r="A478">
        <v>489</v>
      </c>
      <c r="B478">
        <v>208</v>
      </c>
      <c r="C478">
        <v>1</v>
      </c>
      <c r="D478" s="1">
        <v>42095</v>
      </c>
      <c r="E478">
        <v>12.75</v>
      </c>
      <c r="F478">
        <v>12.75</v>
      </c>
      <c r="G478" t="s">
        <v>22</v>
      </c>
      <c r="H478" t="s">
        <v>19</v>
      </c>
      <c r="I478" t="s">
        <v>23</v>
      </c>
    </row>
    <row r="479" spans="1:9" x14ac:dyDescent="0.35">
      <c r="A479">
        <v>476</v>
      </c>
      <c r="B479">
        <v>203</v>
      </c>
      <c r="C479">
        <v>1</v>
      </c>
      <c r="D479" s="1">
        <v>42095</v>
      </c>
      <c r="E479">
        <v>20.75</v>
      </c>
      <c r="F479">
        <v>20.75</v>
      </c>
      <c r="G479" t="s">
        <v>13</v>
      </c>
      <c r="H479" t="s">
        <v>19</v>
      </c>
      <c r="I479" t="s">
        <v>32</v>
      </c>
    </row>
    <row r="480" spans="1:9" x14ac:dyDescent="0.35">
      <c r="A480">
        <v>493</v>
      </c>
      <c r="B480">
        <v>209</v>
      </c>
      <c r="C480">
        <v>1</v>
      </c>
      <c r="D480" s="1">
        <v>42095</v>
      </c>
      <c r="E480">
        <v>20.75</v>
      </c>
      <c r="F480">
        <v>20.75</v>
      </c>
      <c r="G480" t="s">
        <v>13</v>
      </c>
      <c r="H480" t="s">
        <v>19</v>
      </c>
      <c r="I480" t="s">
        <v>32</v>
      </c>
    </row>
    <row r="481" spans="1:9" x14ac:dyDescent="0.35">
      <c r="A481">
        <v>481</v>
      </c>
      <c r="B481">
        <v>205</v>
      </c>
      <c r="C481">
        <v>1</v>
      </c>
      <c r="D481" s="1">
        <v>42095</v>
      </c>
      <c r="E481">
        <v>12.75</v>
      </c>
      <c r="F481">
        <v>12.75</v>
      </c>
      <c r="G481" t="s">
        <v>22</v>
      </c>
      <c r="H481" t="s">
        <v>19</v>
      </c>
      <c r="I481" t="s">
        <v>32</v>
      </c>
    </row>
    <row r="482" spans="1:9" x14ac:dyDescent="0.35">
      <c r="A482">
        <v>482</v>
      </c>
      <c r="B482">
        <v>205</v>
      </c>
      <c r="C482">
        <v>1</v>
      </c>
      <c r="D482" s="1">
        <v>42095</v>
      </c>
      <c r="E482">
        <v>16.75</v>
      </c>
      <c r="F482">
        <v>16.75</v>
      </c>
      <c r="G482" t="s">
        <v>9</v>
      </c>
      <c r="H482" t="s">
        <v>19</v>
      </c>
      <c r="I482" t="s">
        <v>45</v>
      </c>
    </row>
    <row r="483" spans="1:9" x14ac:dyDescent="0.35">
      <c r="A483">
        <v>490</v>
      </c>
      <c r="B483">
        <v>208</v>
      </c>
      <c r="C483">
        <v>1</v>
      </c>
      <c r="D483" s="1">
        <v>42095</v>
      </c>
      <c r="E483">
        <v>16.75</v>
      </c>
      <c r="F483">
        <v>16.75</v>
      </c>
      <c r="G483" t="s">
        <v>9</v>
      </c>
      <c r="H483" t="s">
        <v>19</v>
      </c>
      <c r="I483" t="s">
        <v>45</v>
      </c>
    </row>
    <row r="484" spans="1:9" x14ac:dyDescent="0.35">
      <c r="A484">
        <v>497</v>
      </c>
      <c r="B484">
        <v>213</v>
      </c>
      <c r="C484">
        <v>1</v>
      </c>
      <c r="D484" s="1">
        <v>42095</v>
      </c>
      <c r="E484">
        <v>17.95</v>
      </c>
      <c r="F484">
        <v>17.95</v>
      </c>
      <c r="G484" t="s">
        <v>13</v>
      </c>
      <c r="H484" t="s">
        <v>14</v>
      </c>
      <c r="I484" t="s">
        <v>37</v>
      </c>
    </row>
    <row r="485" spans="1:9" x14ac:dyDescent="0.35">
      <c r="A485">
        <v>492</v>
      </c>
      <c r="B485">
        <v>208</v>
      </c>
      <c r="C485">
        <v>1</v>
      </c>
      <c r="D485" s="1">
        <v>42095</v>
      </c>
      <c r="E485">
        <v>16</v>
      </c>
      <c r="F485">
        <v>16</v>
      </c>
      <c r="G485" t="s">
        <v>9</v>
      </c>
      <c r="H485" t="s">
        <v>10</v>
      </c>
      <c r="I485" t="s">
        <v>24</v>
      </c>
    </row>
    <row r="486" spans="1:9" x14ac:dyDescent="0.35">
      <c r="A486">
        <v>479</v>
      </c>
      <c r="B486">
        <v>203</v>
      </c>
      <c r="C486">
        <v>1</v>
      </c>
      <c r="D486" s="1">
        <v>42095</v>
      </c>
      <c r="E486">
        <v>12</v>
      </c>
      <c r="F486">
        <v>12</v>
      </c>
      <c r="G486" t="s">
        <v>22</v>
      </c>
      <c r="H486" t="s">
        <v>10</v>
      </c>
      <c r="I486" t="s">
        <v>24</v>
      </c>
    </row>
    <row r="487" spans="1:9" x14ac:dyDescent="0.35">
      <c r="A487">
        <v>496</v>
      </c>
      <c r="B487">
        <v>212</v>
      </c>
      <c r="C487">
        <v>1</v>
      </c>
      <c r="D487" s="1">
        <v>42095</v>
      </c>
      <c r="E487">
        <v>20.5</v>
      </c>
      <c r="F487">
        <v>20.5</v>
      </c>
      <c r="G487" t="s">
        <v>13</v>
      </c>
      <c r="H487" t="s">
        <v>10</v>
      </c>
      <c r="I487" t="s">
        <v>27</v>
      </c>
    </row>
    <row r="488" spans="1:9" x14ac:dyDescent="0.35">
      <c r="A488">
        <v>498</v>
      </c>
      <c r="B488">
        <v>214</v>
      </c>
      <c r="C488">
        <v>1</v>
      </c>
      <c r="D488" s="1">
        <v>42095</v>
      </c>
      <c r="E488">
        <v>20.5</v>
      </c>
      <c r="F488">
        <v>20.5</v>
      </c>
      <c r="G488" t="s">
        <v>13</v>
      </c>
      <c r="H488" t="s">
        <v>10</v>
      </c>
      <c r="I488" t="s">
        <v>27</v>
      </c>
    </row>
    <row r="489" spans="1:9" x14ac:dyDescent="0.35">
      <c r="A489">
        <v>499</v>
      </c>
      <c r="B489">
        <v>214</v>
      </c>
      <c r="C489">
        <v>1</v>
      </c>
      <c r="D489" s="1">
        <v>42095</v>
      </c>
      <c r="E489">
        <v>16.5</v>
      </c>
      <c r="F489">
        <v>16.5</v>
      </c>
      <c r="G489" t="s">
        <v>9</v>
      </c>
      <c r="H489" t="s">
        <v>16</v>
      </c>
      <c r="I489" t="s">
        <v>17</v>
      </c>
    </row>
    <row r="490" spans="1:9" x14ac:dyDescent="0.35">
      <c r="A490">
        <v>477</v>
      </c>
      <c r="B490">
        <v>203</v>
      </c>
      <c r="C490">
        <v>1</v>
      </c>
      <c r="D490" s="1">
        <v>42095</v>
      </c>
      <c r="E490">
        <v>16.75</v>
      </c>
      <c r="F490">
        <v>16.75</v>
      </c>
      <c r="G490" t="s">
        <v>9</v>
      </c>
      <c r="H490" t="s">
        <v>14</v>
      </c>
      <c r="I490" t="s">
        <v>40</v>
      </c>
    </row>
    <row r="491" spans="1:9" x14ac:dyDescent="0.35">
      <c r="A491">
        <v>500</v>
      </c>
      <c r="B491">
        <v>214</v>
      </c>
      <c r="C491">
        <v>1</v>
      </c>
      <c r="D491" s="1">
        <v>42095</v>
      </c>
      <c r="E491">
        <v>12</v>
      </c>
      <c r="F491">
        <v>12</v>
      </c>
      <c r="G491" t="s">
        <v>22</v>
      </c>
      <c r="H491" t="s">
        <v>14</v>
      </c>
      <c r="I491" t="s">
        <v>18</v>
      </c>
    </row>
    <row r="492" spans="1:9" x14ac:dyDescent="0.35">
      <c r="A492">
        <v>484</v>
      </c>
      <c r="B492">
        <v>206</v>
      </c>
      <c r="C492">
        <v>1</v>
      </c>
      <c r="D492" s="1">
        <v>42095</v>
      </c>
      <c r="E492">
        <v>16</v>
      </c>
      <c r="F492">
        <v>16</v>
      </c>
      <c r="G492" t="s">
        <v>9</v>
      </c>
      <c r="H492" t="s">
        <v>10</v>
      </c>
      <c r="I492" t="s">
        <v>38</v>
      </c>
    </row>
    <row r="493" spans="1:9" x14ac:dyDescent="0.35">
      <c r="A493">
        <v>491</v>
      </c>
      <c r="B493">
        <v>208</v>
      </c>
      <c r="C493">
        <v>1</v>
      </c>
      <c r="D493" s="1">
        <v>42095</v>
      </c>
      <c r="E493">
        <v>12.5</v>
      </c>
      <c r="F493">
        <v>12.5</v>
      </c>
      <c r="G493" t="s">
        <v>9</v>
      </c>
      <c r="H493" t="s">
        <v>10</v>
      </c>
      <c r="I493" t="s">
        <v>33</v>
      </c>
    </row>
    <row r="494" spans="1:9" x14ac:dyDescent="0.35">
      <c r="A494">
        <v>485</v>
      </c>
      <c r="B494">
        <v>206</v>
      </c>
      <c r="C494">
        <v>1</v>
      </c>
      <c r="D494" s="1">
        <v>42095</v>
      </c>
      <c r="E494">
        <v>9.75</v>
      </c>
      <c r="F494">
        <v>9.75</v>
      </c>
      <c r="G494" t="s">
        <v>22</v>
      </c>
      <c r="H494" t="s">
        <v>10</v>
      </c>
      <c r="I494" t="s">
        <v>33</v>
      </c>
    </row>
    <row r="495" spans="1:9" x14ac:dyDescent="0.35">
      <c r="A495">
        <v>495</v>
      </c>
      <c r="B495">
        <v>211</v>
      </c>
      <c r="C495">
        <v>1</v>
      </c>
      <c r="D495" s="1">
        <v>42095</v>
      </c>
      <c r="E495">
        <v>9.75</v>
      </c>
      <c r="F495">
        <v>9.75</v>
      </c>
      <c r="G495" t="s">
        <v>22</v>
      </c>
      <c r="H495" t="s">
        <v>10</v>
      </c>
      <c r="I495" t="s">
        <v>33</v>
      </c>
    </row>
    <row r="496" spans="1:9" x14ac:dyDescent="0.35">
      <c r="A496">
        <v>478</v>
      </c>
      <c r="B496">
        <v>203</v>
      </c>
      <c r="C496">
        <v>1</v>
      </c>
      <c r="D496" s="1">
        <v>42095</v>
      </c>
      <c r="E496">
        <v>17.5</v>
      </c>
      <c r="F496">
        <v>17.5</v>
      </c>
      <c r="G496" t="s">
        <v>13</v>
      </c>
      <c r="H496" t="s">
        <v>10</v>
      </c>
      <c r="I496" t="s">
        <v>46</v>
      </c>
    </row>
    <row r="497" spans="1:9" x14ac:dyDescent="0.35">
      <c r="A497">
        <v>483</v>
      </c>
      <c r="B497">
        <v>205</v>
      </c>
      <c r="C497">
        <v>1</v>
      </c>
      <c r="D497" s="1">
        <v>42095</v>
      </c>
      <c r="E497">
        <v>12.5</v>
      </c>
      <c r="F497">
        <v>12.5</v>
      </c>
      <c r="G497" t="s">
        <v>22</v>
      </c>
      <c r="H497" t="s">
        <v>16</v>
      </c>
      <c r="I497" t="s">
        <v>21</v>
      </c>
    </row>
    <row r="498" spans="1:9" x14ac:dyDescent="0.35">
      <c r="A498">
        <v>480</v>
      </c>
      <c r="B498">
        <v>204</v>
      </c>
      <c r="C498">
        <v>1</v>
      </c>
      <c r="D498" s="1">
        <v>42095</v>
      </c>
      <c r="E498">
        <v>20.75</v>
      </c>
      <c r="F498">
        <v>20.75</v>
      </c>
      <c r="G498" t="s">
        <v>13</v>
      </c>
      <c r="H498" t="s">
        <v>16</v>
      </c>
      <c r="I498" t="s">
        <v>28</v>
      </c>
    </row>
    <row r="499" spans="1:9" x14ac:dyDescent="0.35">
      <c r="A499">
        <v>486</v>
      </c>
      <c r="B499">
        <v>206</v>
      </c>
      <c r="C499">
        <v>1</v>
      </c>
      <c r="D499" s="1">
        <v>42095</v>
      </c>
      <c r="E499">
        <v>20.75</v>
      </c>
      <c r="F499">
        <v>20.75</v>
      </c>
      <c r="G499" t="s">
        <v>13</v>
      </c>
      <c r="H499" t="s">
        <v>16</v>
      </c>
      <c r="I499" t="s">
        <v>28</v>
      </c>
    </row>
    <row r="500" spans="1:9" x14ac:dyDescent="0.35">
      <c r="A500">
        <v>487</v>
      </c>
      <c r="B500">
        <v>207</v>
      </c>
      <c r="C500">
        <v>1</v>
      </c>
      <c r="D500" s="1">
        <v>42095</v>
      </c>
      <c r="E500">
        <v>20.75</v>
      </c>
      <c r="F500">
        <v>20.75</v>
      </c>
      <c r="G500" t="s">
        <v>13</v>
      </c>
      <c r="H500" t="s">
        <v>16</v>
      </c>
      <c r="I500" t="s">
        <v>28</v>
      </c>
    </row>
    <row r="501" spans="1:9" x14ac:dyDescent="0.35">
      <c r="A501">
        <v>494</v>
      </c>
      <c r="B501">
        <v>210</v>
      </c>
      <c r="C501">
        <v>1</v>
      </c>
      <c r="D501" s="1">
        <v>42095</v>
      </c>
      <c r="E501">
        <v>12</v>
      </c>
      <c r="F501">
        <v>12</v>
      </c>
      <c r="G501" t="s">
        <v>22</v>
      </c>
      <c r="H501" t="s">
        <v>14</v>
      </c>
      <c r="I501" t="s">
        <v>43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523CD-8C7F-4E5E-9024-B1A9898A1147}">
  <dimension ref="A1:N501"/>
  <sheetViews>
    <sheetView topLeftCell="B1" workbookViewId="0">
      <selection activeCell="J17" sqref="J17"/>
    </sheetView>
  </sheetViews>
  <sheetFormatPr defaultRowHeight="14.5" x14ac:dyDescent="0.35"/>
  <cols>
    <col min="1" max="1" width="7.453125" customWidth="1"/>
    <col min="2" max="2" width="8.08984375" customWidth="1"/>
    <col min="4" max="4" width="11.7265625" customWidth="1"/>
    <col min="5" max="5" width="10.1796875" customWidth="1"/>
    <col min="6" max="6" width="9.26953125" customWidth="1"/>
    <col min="8" max="8" width="13.08984375" customWidth="1"/>
    <col min="9" max="9" width="39.81640625" customWidth="1"/>
    <col min="10" max="10" width="14.08984375" customWidth="1"/>
  </cols>
  <sheetData>
    <row r="1" spans="1:14" x14ac:dyDescent="0.35">
      <c r="A1" t="s">
        <v>0</v>
      </c>
      <c r="B1" t="s">
        <v>1</v>
      </c>
      <c r="C1" t="s">
        <v>2</v>
      </c>
      <c r="D1" s="1" t="s">
        <v>3</v>
      </c>
      <c r="E1" t="s">
        <v>4</v>
      </c>
      <c r="F1" t="s">
        <v>5</v>
      </c>
      <c r="G1" t="s">
        <v>6</v>
      </c>
      <c r="H1" t="s">
        <v>7</v>
      </c>
      <c r="I1" t="s">
        <v>8</v>
      </c>
      <c r="J1" t="s">
        <v>50</v>
      </c>
      <c r="L1" t="s">
        <v>54</v>
      </c>
      <c r="N1" t="s">
        <v>49</v>
      </c>
    </row>
    <row r="2" spans="1:14" x14ac:dyDescent="0.35">
      <c r="A2">
        <v>1</v>
      </c>
      <c r="B2">
        <v>1</v>
      </c>
      <c r="C2">
        <v>1</v>
      </c>
      <c r="D2" s="1">
        <v>42005</v>
      </c>
      <c r="E2">
        <v>13.25</v>
      </c>
      <c r="F2">
        <v>13.25</v>
      </c>
      <c r="G2" t="s">
        <v>9</v>
      </c>
      <c r="H2" t="s">
        <v>10</v>
      </c>
      <c r="I2" t="s">
        <v>11</v>
      </c>
    </row>
    <row r="3" spans="1:14" x14ac:dyDescent="0.35">
      <c r="A3">
        <v>2</v>
      </c>
      <c r="B3">
        <v>2</v>
      </c>
      <c r="C3">
        <v>1</v>
      </c>
      <c r="D3" s="1">
        <v>42005</v>
      </c>
      <c r="E3">
        <v>16</v>
      </c>
      <c r="F3">
        <v>16</v>
      </c>
      <c r="G3" t="s">
        <v>9</v>
      </c>
      <c r="H3" t="s">
        <v>10</v>
      </c>
      <c r="I3" t="s">
        <v>12</v>
      </c>
      <c r="J3" t="s">
        <v>51</v>
      </c>
      <c r="L3" t="s">
        <v>55</v>
      </c>
      <c r="N3" t="s">
        <v>51</v>
      </c>
    </row>
    <row r="4" spans="1:14" x14ac:dyDescent="0.35">
      <c r="A4">
        <v>3</v>
      </c>
      <c r="B4">
        <v>2</v>
      </c>
      <c r="C4">
        <v>1</v>
      </c>
      <c r="D4" s="1">
        <v>42005</v>
      </c>
      <c r="E4">
        <v>18.5</v>
      </c>
      <c r="F4">
        <v>18.5</v>
      </c>
      <c r="G4" t="s">
        <v>13</v>
      </c>
      <c r="H4" t="s">
        <v>14</v>
      </c>
      <c r="I4" t="s">
        <v>15</v>
      </c>
      <c r="J4">
        <f>SUM(C2:C501)</f>
        <v>510</v>
      </c>
      <c r="L4">
        <f>SUM(E2:E501)</f>
        <v>8342.8499999999985</v>
      </c>
      <c r="N4">
        <f>SUM(F2:F501)</f>
        <v>8513.8499999999985</v>
      </c>
    </row>
    <row r="5" spans="1:14" x14ac:dyDescent="0.35">
      <c r="A5">
        <v>4</v>
      </c>
      <c r="B5">
        <v>2</v>
      </c>
      <c r="C5">
        <v>1</v>
      </c>
      <c r="D5" s="1">
        <v>42005</v>
      </c>
      <c r="E5">
        <v>20.75</v>
      </c>
      <c r="F5">
        <v>20.75</v>
      </c>
      <c r="G5" t="s">
        <v>13</v>
      </c>
      <c r="H5" t="s">
        <v>16</v>
      </c>
      <c r="I5" t="s">
        <v>17</v>
      </c>
    </row>
    <row r="6" spans="1:14" x14ac:dyDescent="0.35">
      <c r="A6">
        <v>5</v>
      </c>
      <c r="B6">
        <v>2</v>
      </c>
      <c r="C6">
        <v>1</v>
      </c>
      <c r="D6" s="1">
        <v>42005</v>
      </c>
      <c r="E6">
        <v>16</v>
      </c>
      <c r="F6">
        <v>16</v>
      </c>
      <c r="G6" t="s">
        <v>9</v>
      </c>
      <c r="H6" t="s">
        <v>14</v>
      </c>
      <c r="I6" t="s">
        <v>18</v>
      </c>
      <c r="J6" t="s">
        <v>52</v>
      </c>
      <c r="L6" t="s">
        <v>53</v>
      </c>
      <c r="N6" t="s">
        <v>52</v>
      </c>
    </row>
    <row r="7" spans="1:14" x14ac:dyDescent="0.35">
      <c r="A7">
        <v>6</v>
      </c>
      <c r="B7">
        <v>2</v>
      </c>
      <c r="C7">
        <v>1</v>
      </c>
      <c r="D7" s="1">
        <v>42005</v>
      </c>
      <c r="E7">
        <v>20.75</v>
      </c>
      <c r="F7">
        <v>20.75</v>
      </c>
      <c r="G7" t="s">
        <v>13</v>
      </c>
      <c r="H7" t="s">
        <v>19</v>
      </c>
      <c r="I7" t="s">
        <v>20</v>
      </c>
      <c r="J7">
        <f>AVERAGE(C2:C501)</f>
        <v>1.02</v>
      </c>
      <c r="L7">
        <f>AVERAGE(E2:E501)</f>
        <v>16.685699999999997</v>
      </c>
      <c r="N7">
        <f>AVERAGE(F2:F501)</f>
        <v>17.027699999999996</v>
      </c>
    </row>
    <row r="8" spans="1:14" x14ac:dyDescent="0.35">
      <c r="A8">
        <v>7</v>
      </c>
      <c r="B8">
        <v>3</v>
      </c>
      <c r="C8">
        <v>1</v>
      </c>
      <c r="D8" s="1">
        <v>42005</v>
      </c>
      <c r="E8">
        <v>16.5</v>
      </c>
      <c r="F8">
        <v>16.5</v>
      </c>
      <c r="G8" t="s">
        <v>9</v>
      </c>
      <c r="H8" t="s">
        <v>16</v>
      </c>
      <c r="I8" t="s">
        <v>17</v>
      </c>
    </row>
    <row r="9" spans="1:14" x14ac:dyDescent="0.35">
      <c r="A9">
        <v>8</v>
      </c>
      <c r="B9">
        <v>3</v>
      </c>
      <c r="C9">
        <v>1</v>
      </c>
      <c r="D9" s="1">
        <v>42005</v>
      </c>
      <c r="E9">
        <v>20.75</v>
      </c>
      <c r="F9">
        <v>20.75</v>
      </c>
      <c r="G9" t="s">
        <v>13</v>
      </c>
      <c r="H9" t="s">
        <v>16</v>
      </c>
      <c r="I9" t="s">
        <v>21</v>
      </c>
    </row>
    <row r="10" spans="1:14" x14ac:dyDescent="0.35">
      <c r="A10">
        <v>9</v>
      </c>
      <c r="B10">
        <v>4</v>
      </c>
      <c r="C10">
        <v>1</v>
      </c>
      <c r="D10" s="1">
        <v>42005</v>
      </c>
      <c r="E10">
        <v>16.5</v>
      </c>
      <c r="F10">
        <v>16.5</v>
      </c>
      <c r="G10" t="s">
        <v>9</v>
      </c>
      <c r="H10" t="s">
        <v>16</v>
      </c>
      <c r="I10" t="s">
        <v>17</v>
      </c>
      <c r="J10" t="s">
        <v>70</v>
      </c>
    </row>
    <row r="11" spans="1:14" x14ac:dyDescent="0.35">
      <c r="A11">
        <v>10</v>
      </c>
      <c r="B11">
        <v>5</v>
      </c>
      <c r="C11">
        <v>1</v>
      </c>
      <c r="D11" s="1">
        <v>42005</v>
      </c>
      <c r="E11">
        <v>16.5</v>
      </c>
      <c r="F11">
        <v>16.5</v>
      </c>
      <c r="G11" t="s">
        <v>9</v>
      </c>
      <c r="H11" t="s">
        <v>16</v>
      </c>
      <c r="I11" t="s">
        <v>17</v>
      </c>
    </row>
    <row r="12" spans="1:14" x14ac:dyDescent="0.35">
      <c r="A12">
        <v>11</v>
      </c>
      <c r="B12">
        <v>6</v>
      </c>
      <c r="C12">
        <v>1</v>
      </c>
      <c r="D12" s="1">
        <v>42005</v>
      </c>
      <c r="E12">
        <v>12.75</v>
      </c>
      <c r="F12">
        <v>12.75</v>
      </c>
      <c r="G12" t="s">
        <v>22</v>
      </c>
      <c r="H12" t="s">
        <v>19</v>
      </c>
      <c r="I12" t="s">
        <v>23</v>
      </c>
      <c r="J12" t="s">
        <v>51</v>
      </c>
    </row>
    <row r="13" spans="1:14" x14ac:dyDescent="0.35">
      <c r="A13">
        <v>12</v>
      </c>
      <c r="B13">
        <v>6</v>
      </c>
      <c r="C13">
        <v>1</v>
      </c>
      <c r="D13" s="1">
        <v>42005</v>
      </c>
      <c r="E13">
        <v>12</v>
      </c>
      <c r="F13">
        <v>12</v>
      </c>
      <c r="G13" t="s">
        <v>22</v>
      </c>
      <c r="H13" t="s">
        <v>10</v>
      </c>
      <c r="I13" t="s">
        <v>24</v>
      </c>
      <c r="J13">
        <f>N4-L4</f>
        <v>171</v>
      </c>
    </row>
    <row r="14" spans="1:14" x14ac:dyDescent="0.35">
      <c r="A14">
        <v>13</v>
      </c>
      <c r="B14">
        <v>7</v>
      </c>
      <c r="C14">
        <v>1</v>
      </c>
      <c r="D14" s="1">
        <v>42005</v>
      </c>
      <c r="E14">
        <v>12.5</v>
      </c>
      <c r="F14">
        <v>12.5</v>
      </c>
      <c r="G14" t="s">
        <v>22</v>
      </c>
      <c r="H14" t="s">
        <v>16</v>
      </c>
      <c r="I14" t="s">
        <v>25</v>
      </c>
    </row>
    <row r="15" spans="1:14" x14ac:dyDescent="0.35">
      <c r="A15">
        <v>14</v>
      </c>
      <c r="B15">
        <v>8</v>
      </c>
      <c r="C15">
        <v>1</v>
      </c>
      <c r="D15" s="1">
        <v>42005</v>
      </c>
      <c r="E15">
        <v>12.5</v>
      </c>
      <c r="F15">
        <v>12.5</v>
      </c>
      <c r="G15" t="s">
        <v>22</v>
      </c>
      <c r="H15" t="s">
        <v>16</v>
      </c>
      <c r="I15" t="s">
        <v>25</v>
      </c>
      <c r="J15" t="s">
        <v>52</v>
      </c>
    </row>
    <row r="16" spans="1:14" x14ac:dyDescent="0.35">
      <c r="A16">
        <v>15</v>
      </c>
      <c r="B16">
        <v>9</v>
      </c>
      <c r="C16">
        <v>1</v>
      </c>
      <c r="D16" s="1">
        <v>42005</v>
      </c>
      <c r="E16">
        <v>12</v>
      </c>
      <c r="F16">
        <v>12</v>
      </c>
      <c r="G16" t="s">
        <v>22</v>
      </c>
      <c r="H16" t="s">
        <v>10</v>
      </c>
      <c r="I16" t="s">
        <v>12</v>
      </c>
      <c r="J16">
        <f>N7-L7</f>
        <v>0.34199999999999875</v>
      </c>
    </row>
    <row r="17" spans="1:9" x14ac:dyDescent="0.35">
      <c r="A17">
        <v>16</v>
      </c>
      <c r="B17">
        <v>9</v>
      </c>
      <c r="C17">
        <v>1</v>
      </c>
      <c r="D17" s="1">
        <v>42005</v>
      </c>
      <c r="E17">
        <v>12</v>
      </c>
      <c r="F17">
        <v>12</v>
      </c>
      <c r="G17" t="s">
        <v>22</v>
      </c>
      <c r="H17" t="s">
        <v>14</v>
      </c>
      <c r="I17" t="s">
        <v>26</v>
      </c>
    </row>
    <row r="18" spans="1:9" x14ac:dyDescent="0.35">
      <c r="A18">
        <v>17</v>
      </c>
      <c r="B18">
        <v>9</v>
      </c>
      <c r="C18">
        <v>1</v>
      </c>
      <c r="D18" s="1">
        <v>42005</v>
      </c>
      <c r="E18">
        <v>20.5</v>
      </c>
      <c r="F18">
        <v>20.5</v>
      </c>
      <c r="G18" t="s">
        <v>13</v>
      </c>
      <c r="H18" t="s">
        <v>10</v>
      </c>
      <c r="I18" t="s">
        <v>27</v>
      </c>
    </row>
    <row r="19" spans="1:9" x14ac:dyDescent="0.35">
      <c r="A19">
        <v>18</v>
      </c>
      <c r="B19">
        <v>9</v>
      </c>
      <c r="C19">
        <v>1</v>
      </c>
      <c r="D19" s="1">
        <v>42005</v>
      </c>
      <c r="E19">
        <v>20.75</v>
      </c>
      <c r="F19">
        <v>20.75</v>
      </c>
      <c r="G19" t="s">
        <v>13</v>
      </c>
      <c r="H19" t="s">
        <v>16</v>
      </c>
      <c r="I19" t="s">
        <v>17</v>
      </c>
    </row>
    <row r="20" spans="1:9" x14ac:dyDescent="0.35">
      <c r="A20">
        <v>19</v>
      </c>
      <c r="B20">
        <v>9</v>
      </c>
      <c r="C20">
        <v>1</v>
      </c>
      <c r="D20" s="1">
        <v>42005</v>
      </c>
      <c r="E20">
        <v>12.5</v>
      </c>
      <c r="F20">
        <v>12.5</v>
      </c>
      <c r="G20" t="s">
        <v>22</v>
      </c>
      <c r="H20" t="s">
        <v>16</v>
      </c>
      <c r="I20" t="s">
        <v>17</v>
      </c>
    </row>
    <row r="21" spans="1:9" x14ac:dyDescent="0.35">
      <c r="A21">
        <v>20</v>
      </c>
      <c r="B21">
        <v>9</v>
      </c>
      <c r="C21">
        <v>1</v>
      </c>
      <c r="D21" s="1">
        <v>42005</v>
      </c>
      <c r="E21">
        <v>12</v>
      </c>
      <c r="F21">
        <v>12</v>
      </c>
      <c r="G21" t="s">
        <v>22</v>
      </c>
      <c r="H21" t="s">
        <v>14</v>
      </c>
      <c r="I21" t="s">
        <v>18</v>
      </c>
    </row>
    <row r="22" spans="1:9" x14ac:dyDescent="0.35">
      <c r="A22">
        <v>21</v>
      </c>
      <c r="B22">
        <v>9</v>
      </c>
      <c r="C22">
        <v>1</v>
      </c>
      <c r="D22" s="1">
        <v>42005</v>
      </c>
      <c r="E22">
        <v>20.75</v>
      </c>
      <c r="F22">
        <v>20.75</v>
      </c>
      <c r="G22" t="s">
        <v>13</v>
      </c>
      <c r="H22" t="s">
        <v>16</v>
      </c>
      <c r="I22" t="s">
        <v>28</v>
      </c>
    </row>
    <row r="23" spans="1:9" x14ac:dyDescent="0.35">
      <c r="A23">
        <v>22</v>
      </c>
      <c r="B23">
        <v>9</v>
      </c>
      <c r="C23">
        <v>1</v>
      </c>
      <c r="D23" s="1">
        <v>42005</v>
      </c>
      <c r="E23">
        <v>20.75</v>
      </c>
      <c r="F23">
        <v>20.75</v>
      </c>
      <c r="G23" t="s">
        <v>13</v>
      </c>
      <c r="H23" t="s">
        <v>14</v>
      </c>
      <c r="I23" t="s">
        <v>29</v>
      </c>
    </row>
    <row r="24" spans="1:9" x14ac:dyDescent="0.35">
      <c r="A24">
        <v>23</v>
      </c>
      <c r="B24">
        <v>9</v>
      </c>
      <c r="C24">
        <v>1</v>
      </c>
      <c r="D24" s="1">
        <v>42005</v>
      </c>
      <c r="E24">
        <v>12</v>
      </c>
      <c r="F24">
        <v>12</v>
      </c>
      <c r="G24" t="s">
        <v>22</v>
      </c>
      <c r="H24" t="s">
        <v>14</v>
      </c>
      <c r="I24" t="s">
        <v>30</v>
      </c>
    </row>
    <row r="25" spans="1:9" x14ac:dyDescent="0.35">
      <c r="A25">
        <v>24</v>
      </c>
      <c r="B25">
        <v>10</v>
      </c>
      <c r="C25">
        <v>1</v>
      </c>
      <c r="D25" s="1">
        <v>42005</v>
      </c>
      <c r="E25">
        <v>20.25</v>
      </c>
      <c r="F25">
        <v>20.25</v>
      </c>
      <c r="G25" t="s">
        <v>13</v>
      </c>
      <c r="H25" t="s">
        <v>14</v>
      </c>
      <c r="I25" t="s">
        <v>18</v>
      </c>
    </row>
    <row r="26" spans="1:9" x14ac:dyDescent="0.35">
      <c r="A26">
        <v>25</v>
      </c>
      <c r="B26">
        <v>10</v>
      </c>
      <c r="C26">
        <v>1</v>
      </c>
      <c r="D26" s="1">
        <v>42005</v>
      </c>
      <c r="E26">
        <v>20.75</v>
      </c>
      <c r="F26">
        <v>20.75</v>
      </c>
      <c r="G26" t="s">
        <v>13</v>
      </c>
      <c r="H26" t="s">
        <v>19</v>
      </c>
      <c r="I26" t="s">
        <v>31</v>
      </c>
    </row>
    <row r="27" spans="1:9" x14ac:dyDescent="0.35">
      <c r="A27">
        <v>26</v>
      </c>
      <c r="B27">
        <v>11</v>
      </c>
      <c r="C27">
        <v>1</v>
      </c>
      <c r="D27" s="1">
        <v>42005</v>
      </c>
      <c r="E27">
        <v>20.75</v>
      </c>
      <c r="F27">
        <v>20.75</v>
      </c>
      <c r="G27" t="s">
        <v>13</v>
      </c>
      <c r="H27" t="s">
        <v>19</v>
      </c>
      <c r="I27" t="s">
        <v>23</v>
      </c>
    </row>
    <row r="28" spans="1:9" x14ac:dyDescent="0.35">
      <c r="A28">
        <v>27</v>
      </c>
      <c r="B28">
        <v>11</v>
      </c>
      <c r="C28">
        <v>1</v>
      </c>
      <c r="D28" s="1">
        <v>42005</v>
      </c>
      <c r="E28">
        <v>20.75</v>
      </c>
      <c r="F28">
        <v>20.75</v>
      </c>
      <c r="G28" t="s">
        <v>13</v>
      </c>
      <c r="H28" t="s">
        <v>19</v>
      </c>
      <c r="I28" t="s">
        <v>32</v>
      </c>
    </row>
    <row r="29" spans="1:9" x14ac:dyDescent="0.35">
      <c r="A29">
        <v>28</v>
      </c>
      <c r="B29">
        <v>11</v>
      </c>
      <c r="C29">
        <v>1</v>
      </c>
      <c r="D29" s="1">
        <v>42005</v>
      </c>
      <c r="E29">
        <v>16.75</v>
      </c>
      <c r="F29">
        <v>16.75</v>
      </c>
      <c r="G29" t="s">
        <v>9</v>
      </c>
      <c r="H29" t="s">
        <v>19</v>
      </c>
      <c r="I29" t="s">
        <v>32</v>
      </c>
    </row>
    <row r="30" spans="1:9" x14ac:dyDescent="0.35">
      <c r="A30">
        <v>29</v>
      </c>
      <c r="B30">
        <v>11</v>
      </c>
      <c r="C30">
        <v>1</v>
      </c>
      <c r="D30" s="1">
        <v>42005</v>
      </c>
      <c r="E30">
        <v>15.25</v>
      </c>
      <c r="F30">
        <v>15.25</v>
      </c>
      <c r="G30" t="s">
        <v>13</v>
      </c>
      <c r="H30" t="s">
        <v>10</v>
      </c>
      <c r="I30" t="s">
        <v>33</v>
      </c>
    </row>
    <row r="31" spans="1:9" x14ac:dyDescent="0.35">
      <c r="A31">
        <v>30</v>
      </c>
      <c r="B31">
        <v>12</v>
      </c>
      <c r="C31">
        <v>1</v>
      </c>
      <c r="D31" s="1">
        <v>42005</v>
      </c>
      <c r="E31">
        <v>20.75</v>
      </c>
      <c r="F31">
        <v>20.75</v>
      </c>
      <c r="G31" t="s">
        <v>13</v>
      </c>
      <c r="H31" t="s">
        <v>19</v>
      </c>
      <c r="I31" t="s">
        <v>32</v>
      </c>
    </row>
    <row r="32" spans="1:9" x14ac:dyDescent="0.35">
      <c r="A32">
        <v>31</v>
      </c>
      <c r="B32">
        <v>12</v>
      </c>
      <c r="C32">
        <v>1</v>
      </c>
      <c r="D32" s="1">
        <v>42005</v>
      </c>
      <c r="E32">
        <v>12.75</v>
      </c>
      <c r="F32">
        <v>12.75</v>
      </c>
      <c r="G32" t="s">
        <v>22</v>
      </c>
      <c r="H32" t="s">
        <v>19</v>
      </c>
      <c r="I32" t="s">
        <v>32</v>
      </c>
    </row>
    <row r="33" spans="1:9" x14ac:dyDescent="0.35">
      <c r="A33">
        <v>32</v>
      </c>
      <c r="B33">
        <v>12</v>
      </c>
      <c r="C33">
        <v>1</v>
      </c>
      <c r="D33" s="1">
        <v>42005</v>
      </c>
      <c r="E33">
        <v>20.75</v>
      </c>
      <c r="F33">
        <v>20.75</v>
      </c>
      <c r="G33" t="s">
        <v>13</v>
      </c>
      <c r="H33" t="s">
        <v>19</v>
      </c>
      <c r="I33" t="s">
        <v>34</v>
      </c>
    </row>
    <row r="34" spans="1:9" x14ac:dyDescent="0.35">
      <c r="A34">
        <v>33</v>
      </c>
      <c r="B34">
        <v>12</v>
      </c>
      <c r="C34">
        <v>1</v>
      </c>
      <c r="D34" s="1">
        <v>42005</v>
      </c>
      <c r="E34">
        <v>16.5</v>
      </c>
      <c r="F34">
        <v>16.5</v>
      </c>
      <c r="G34" t="s">
        <v>9</v>
      </c>
      <c r="H34" t="s">
        <v>16</v>
      </c>
      <c r="I34" t="s">
        <v>17</v>
      </c>
    </row>
    <row r="35" spans="1:9" x14ac:dyDescent="0.35">
      <c r="A35">
        <v>34</v>
      </c>
      <c r="B35">
        <v>13</v>
      </c>
      <c r="C35">
        <v>1</v>
      </c>
      <c r="D35" s="1">
        <v>42005</v>
      </c>
      <c r="E35">
        <v>20.25</v>
      </c>
      <c r="F35">
        <v>20.25</v>
      </c>
      <c r="G35" t="s">
        <v>13</v>
      </c>
      <c r="H35" t="s">
        <v>14</v>
      </c>
      <c r="I35" t="s">
        <v>18</v>
      </c>
    </row>
    <row r="36" spans="1:9" x14ac:dyDescent="0.35">
      <c r="A36">
        <v>35</v>
      </c>
      <c r="B36">
        <v>14</v>
      </c>
      <c r="C36">
        <v>1</v>
      </c>
      <c r="D36" s="1">
        <v>42005</v>
      </c>
      <c r="E36">
        <v>12</v>
      </c>
      <c r="F36">
        <v>12</v>
      </c>
      <c r="G36" t="s">
        <v>22</v>
      </c>
      <c r="H36" t="s">
        <v>10</v>
      </c>
      <c r="I36" t="s">
        <v>24</v>
      </c>
    </row>
    <row r="37" spans="1:9" x14ac:dyDescent="0.35">
      <c r="A37">
        <v>36</v>
      </c>
      <c r="B37">
        <v>15</v>
      </c>
      <c r="C37">
        <v>1</v>
      </c>
      <c r="D37" s="1">
        <v>42005</v>
      </c>
      <c r="E37">
        <v>12</v>
      </c>
      <c r="F37">
        <v>12</v>
      </c>
      <c r="G37" t="s">
        <v>22</v>
      </c>
      <c r="H37" t="s">
        <v>10</v>
      </c>
      <c r="I37" t="s">
        <v>35</v>
      </c>
    </row>
    <row r="38" spans="1:9" x14ac:dyDescent="0.35">
      <c r="A38">
        <v>37</v>
      </c>
      <c r="B38">
        <v>15</v>
      </c>
      <c r="C38">
        <v>1</v>
      </c>
      <c r="D38" s="1">
        <v>42005</v>
      </c>
      <c r="E38">
        <v>18.5</v>
      </c>
      <c r="F38">
        <v>18.5</v>
      </c>
      <c r="G38" t="s">
        <v>13</v>
      </c>
      <c r="H38" t="s">
        <v>14</v>
      </c>
      <c r="I38" t="s">
        <v>15</v>
      </c>
    </row>
    <row r="39" spans="1:9" x14ac:dyDescent="0.35">
      <c r="A39">
        <v>38</v>
      </c>
      <c r="B39">
        <v>15</v>
      </c>
      <c r="C39">
        <v>1</v>
      </c>
      <c r="D39" s="1">
        <v>42005</v>
      </c>
      <c r="E39">
        <v>20.75</v>
      </c>
      <c r="F39">
        <v>20.75</v>
      </c>
      <c r="G39" t="s">
        <v>13</v>
      </c>
      <c r="H39" t="s">
        <v>16</v>
      </c>
      <c r="I39" t="s">
        <v>36</v>
      </c>
    </row>
    <row r="40" spans="1:9" x14ac:dyDescent="0.35">
      <c r="A40">
        <v>39</v>
      </c>
      <c r="B40">
        <v>15</v>
      </c>
      <c r="C40">
        <v>1</v>
      </c>
      <c r="D40" s="1">
        <v>42005</v>
      </c>
      <c r="E40">
        <v>12</v>
      </c>
      <c r="F40">
        <v>12</v>
      </c>
      <c r="G40" t="s">
        <v>22</v>
      </c>
      <c r="H40" t="s">
        <v>10</v>
      </c>
      <c r="I40" t="s">
        <v>24</v>
      </c>
    </row>
    <row r="41" spans="1:9" x14ac:dyDescent="0.35">
      <c r="A41">
        <v>40</v>
      </c>
      <c r="B41">
        <v>16</v>
      </c>
      <c r="C41">
        <v>1</v>
      </c>
      <c r="D41" s="1">
        <v>42005</v>
      </c>
      <c r="E41">
        <v>17.95</v>
      </c>
      <c r="F41">
        <v>17.95</v>
      </c>
      <c r="G41" t="s">
        <v>13</v>
      </c>
      <c r="H41" t="s">
        <v>14</v>
      </c>
      <c r="I41" t="s">
        <v>37</v>
      </c>
    </row>
    <row r="42" spans="1:9" x14ac:dyDescent="0.35">
      <c r="A42">
        <v>41</v>
      </c>
      <c r="B42">
        <v>16</v>
      </c>
      <c r="C42">
        <v>1</v>
      </c>
      <c r="D42" s="1">
        <v>42005</v>
      </c>
      <c r="E42">
        <v>12</v>
      </c>
      <c r="F42">
        <v>12</v>
      </c>
      <c r="G42" t="s">
        <v>22</v>
      </c>
      <c r="H42" t="s">
        <v>10</v>
      </c>
      <c r="I42" t="s">
        <v>38</v>
      </c>
    </row>
    <row r="43" spans="1:9" x14ac:dyDescent="0.35">
      <c r="A43">
        <v>42</v>
      </c>
      <c r="B43">
        <v>16</v>
      </c>
      <c r="C43">
        <v>1</v>
      </c>
      <c r="D43" s="1">
        <v>42005</v>
      </c>
      <c r="E43">
        <v>20.75</v>
      </c>
      <c r="F43">
        <v>20.75</v>
      </c>
      <c r="G43" t="s">
        <v>13</v>
      </c>
      <c r="H43" t="s">
        <v>19</v>
      </c>
      <c r="I43" t="s">
        <v>20</v>
      </c>
    </row>
    <row r="44" spans="1:9" x14ac:dyDescent="0.35">
      <c r="A44">
        <v>43</v>
      </c>
      <c r="B44">
        <v>17</v>
      </c>
      <c r="C44">
        <v>1</v>
      </c>
      <c r="D44" s="1">
        <v>42005</v>
      </c>
      <c r="E44">
        <v>20.75</v>
      </c>
      <c r="F44">
        <v>20.75</v>
      </c>
      <c r="G44" t="s">
        <v>13</v>
      </c>
      <c r="H44" t="s">
        <v>19</v>
      </c>
      <c r="I44" t="s">
        <v>23</v>
      </c>
    </row>
    <row r="45" spans="1:9" x14ac:dyDescent="0.35">
      <c r="A45">
        <v>44</v>
      </c>
      <c r="B45">
        <v>17</v>
      </c>
      <c r="C45">
        <v>1</v>
      </c>
      <c r="D45" s="1">
        <v>42005</v>
      </c>
      <c r="E45">
        <v>16.25</v>
      </c>
      <c r="F45">
        <v>16.25</v>
      </c>
      <c r="G45" t="s">
        <v>9</v>
      </c>
      <c r="H45" t="s">
        <v>16</v>
      </c>
      <c r="I45" t="s">
        <v>39</v>
      </c>
    </row>
    <row r="46" spans="1:9" x14ac:dyDescent="0.35">
      <c r="A46">
        <v>45</v>
      </c>
      <c r="B46">
        <v>17</v>
      </c>
      <c r="C46">
        <v>1</v>
      </c>
      <c r="D46" s="1">
        <v>42005</v>
      </c>
      <c r="E46">
        <v>18.5</v>
      </c>
      <c r="F46">
        <v>18.5</v>
      </c>
      <c r="G46" t="s">
        <v>13</v>
      </c>
      <c r="H46" t="s">
        <v>14</v>
      </c>
      <c r="I46" t="s">
        <v>15</v>
      </c>
    </row>
    <row r="47" spans="1:9" x14ac:dyDescent="0.35">
      <c r="A47">
        <v>46</v>
      </c>
      <c r="B47">
        <v>17</v>
      </c>
      <c r="C47">
        <v>1</v>
      </c>
      <c r="D47" s="1">
        <v>42005</v>
      </c>
      <c r="E47">
        <v>14.75</v>
      </c>
      <c r="F47">
        <v>14.75</v>
      </c>
      <c r="G47" t="s">
        <v>9</v>
      </c>
      <c r="H47" t="s">
        <v>14</v>
      </c>
      <c r="I47" t="s">
        <v>37</v>
      </c>
    </row>
    <row r="48" spans="1:9" x14ac:dyDescent="0.35">
      <c r="A48">
        <v>47</v>
      </c>
      <c r="B48">
        <v>17</v>
      </c>
      <c r="C48">
        <v>1</v>
      </c>
      <c r="D48" s="1">
        <v>42005</v>
      </c>
      <c r="E48">
        <v>16.5</v>
      </c>
      <c r="F48">
        <v>16.5</v>
      </c>
      <c r="G48" t="s">
        <v>9</v>
      </c>
      <c r="H48" t="s">
        <v>16</v>
      </c>
      <c r="I48" t="s">
        <v>17</v>
      </c>
    </row>
    <row r="49" spans="1:9" x14ac:dyDescent="0.35">
      <c r="A49">
        <v>48</v>
      </c>
      <c r="B49">
        <v>17</v>
      </c>
      <c r="C49">
        <v>1</v>
      </c>
      <c r="D49" s="1">
        <v>42005</v>
      </c>
      <c r="E49">
        <v>12.75</v>
      </c>
      <c r="F49">
        <v>12.75</v>
      </c>
      <c r="G49" t="s">
        <v>22</v>
      </c>
      <c r="H49" t="s">
        <v>14</v>
      </c>
      <c r="I49" t="s">
        <v>40</v>
      </c>
    </row>
    <row r="50" spans="1:9" x14ac:dyDescent="0.35">
      <c r="A50">
        <v>49</v>
      </c>
      <c r="B50">
        <v>17</v>
      </c>
      <c r="C50">
        <v>2</v>
      </c>
      <c r="D50" s="1">
        <v>42005</v>
      </c>
      <c r="E50">
        <v>16</v>
      </c>
      <c r="F50">
        <v>32</v>
      </c>
      <c r="G50" t="s">
        <v>9</v>
      </c>
      <c r="H50" t="s">
        <v>14</v>
      </c>
      <c r="I50" t="s">
        <v>41</v>
      </c>
    </row>
    <row r="51" spans="1:9" x14ac:dyDescent="0.35">
      <c r="A51">
        <v>50</v>
      </c>
      <c r="B51">
        <v>17</v>
      </c>
      <c r="C51">
        <v>1</v>
      </c>
      <c r="D51" s="1">
        <v>42005</v>
      </c>
      <c r="E51">
        <v>20.25</v>
      </c>
      <c r="F51">
        <v>20.25</v>
      </c>
      <c r="G51" t="s">
        <v>13</v>
      </c>
      <c r="H51" t="s">
        <v>14</v>
      </c>
      <c r="I51" t="s">
        <v>18</v>
      </c>
    </row>
    <row r="52" spans="1:9" x14ac:dyDescent="0.35">
      <c r="A52">
        <v>51</v>
      </c>
      <c r="B52">
        <v>17</v>
      </c>
      <c r="C52">
        <v>1</v>
      </c>
      <c r="D52" s="1">
        <v>42005</v>
      </c>
      <c r="E52">
        <v>12.5</v>
      </c>
      <c r="F52">
        <v>12.5</v>
      </c>
      <c r="G52" t="s">
        <v>22</v>
      </c>
      <c r="H52" t="s">
        <v>16</v>
      </c>
      <c r="I52" t="s">
        <v>42</v>
      </c>
    </row>
    <row r="53" spans="1:9" x14ac:dyDescent="0.35">
      <c r="A53">
        <v>52</v>
      </c>
      <c r="B53">
        <v>17</v>
      </c>
      <c r="C53">
        <v>1</v>
      </c>
      <c r="D53" s="1">
        <v>42005</v>
      </c>
      <c r="E53">
        <v>20.25</v>
      </c>
      <c r="F53">
        <v>20.25</v>
      </c>
      <c r="G53" t="s">
        <v>13</v>
      </c>
      <c r="H53" t="s">
        <v>14</v>
      </c>
      <c r="I53" t="s">
        <v>43</v>
      </c>
    </row>
    <row r="54" spans="1:9" x14ac:dyDescent="0.35">
      <c r="A54">
        <v>53</v>
      </c>
      <c r="B54">
        <v>18</v>
      </c>
      <c r="C54">
        <v>1</v>
      </c>
      <c r="D54" s="1">
        <v>42005</v>
      </c>
      <c r="E54">
        <v>20.5</v>
      </c>
      <c r="F54">
        <v>20.5</v>
      </c>
      <c r="G54" t="s">
        <v>13</v>
      </c>
      <c r="H54" t="s">
        <v>10</v>
      </c>
      <c r="I54" t="s">
        <v>38</v>
      </c>
    </row>
    <row r="55" spans="1:9" x14ac:dyDescent="0.35">
      <c r="A55">
        <v>54</v>
      </c>
      <c r="B55">
        <v>19</v>
      </c>
      <c r="C55">
        <v>1</v>
      </c>
      <c r="D55" s="1">
        <v>42005</v>
      </c>
      <c r="E55">
        <v>20.5</v>
      </c>
      <c r="F55">
        <v>20.5</v>
      </c>
      <c r="G55" t="s">
        <v>13</v>
      </c>
      <c r="H55" t="s">
        <v>10</v>
      </c>
      <c r="I55" t="s">
        <v>27</v>
      </c>
    </row>
    <row r="56" spans="1:9" x14ac:dyDescent="0.35">
      <c r="A56">
        <v>55</v>
      </c>
      <c r="B56">
        <v>19</v>
      </c>
      <c r="C56">
        <v>1</v>
      </c>
      <c r="D56" s="1">
        <v>42005</v>
      </c>
      <c r="E56">
        <v>20.25</v>
      </c>
      <c r="F56">
        <v>20.25</v>
      </c>
      <c r="G56" t="s">
        <v>13</v>
      </c>
      <c r="H56" t="s">
        <v>16</v>
      </c>
      <c r="I56" t="s">
        <v>44</v>
      </c>
    </row>
    <row r="57" spans="1:9" x14ac:dyDescent="0.35">
      <c r="A57">
        <v>56</v>
      </c>
      <c r="B57">
        <v>20</v>
      </c>
      <c r="C57">
        <v>1</v>
      </c>
      <c r="D57" s="1">
        <v>42005</v>
      </c>
      <c r="E57">
        <v>12</v>
      </c>
      <c r="F57">
        <v>12</v>
      </c>
      <c r="G57" t="s">
        <v>22</v>
      </c>
      <c r="H57" t="s">
        <v>10</v>
      </c>
      <c r="I57" t="s">
        <v>35</v>
      </c>
    </row>
    <row r="58" spans="1:9" x14ac:dyDescent="0.35">
      <c r="A58">
        <v>57</v>
      </c>
      <c r="B58">
        <v>20</v>
      </c>
      <c r="C58">
        <v>1</v>
      </c>
      <c r="D58" s="1">
        <v>42005</v>
      </c>
      <c r="E58">
        <v>18.5</v>
      </c>
      <c r="F58">
        <v>18.5</v>
      </c>
      <c r="G58" t="s">
        <v>13</v>
      </c>
      <c r="H58" t="s">
        <v>14</v>
      </c>
      <c r="I58" t="s">
        <v>15</v>
      </c>
    </row>
    <row r="59" spans="1:9" x14ac:dyDescent="0.35">
      <c r="A59">
        <v>58</v>
      </c>
      <c r="B59">
        <v>21</v>
      </c>
      <c r="C59">
        <v>1</v>
      </c>
      <c r="D59" s="1">
        <v>42005</v>
      </c>
      <c r="E59">
        <v>20.5</v>
      </c>
      <c r="F59">
        <v>20.5</v>
      </c>
      <c r="G59" t="s">
        <v>13</v>
      </c>
      <c r="H59" t="s">
        <v>10</v>
      </c>
      <c r="I59" t="s">
        <v>27</v>
      </c>
    </row>
    <row r="60" spans="1:9" x14ac:dyDescent="0.35">
      <c r="A60">
        <v>59</v>
      </c>
      <c r="B60">
        <v>22</v>
      </c>
      <c r="C60">
        <v>1</v>
      </c>
      <c r="D60" s="1">
        <v>42005</v>
      </c>
      <c r="E60">
        <v>18.5</v>
      </c>
      <c r="F60">
        <v>18.5</v>
      </c>
      <c r="G60" t="s">
        <v>13</v>
      </c>
      <c r="H60" t="s">
        <v>14</v>
      </c>
      <c r="I60" t="s">
        <v>15</v>
      </c>
    </row>
    <row r="61" spans="1:9" x14ac:dyDescent="0.35">
      <c r="A61">
        <v>60</v>
      </c>
      <c r="B61">
        <v>22</v>
      </c>
      <c r="C61">
        <v>1</v>
      </c>
      <c r="D61" s="1">
        <v>42005</v>
      </c>
      <c r="E61">
        <v>16</v>
      </c>
      <c r="F61">
        <v>16</v>
      </c>
      <c r="G61" t="s">
        <v>9</v>
      </c>
      <c r="H61" t="s">
        <v>10</v>
      </c>
      <c r="I61" t="s">
        <v>27</v>
      </c>
    </row>
    <row r="62" spans="1:9" x14ac:dyDescent="0.35">
      <c r="A62">
        <v>61</v>
      </c>
      <c r="B62">
        <v>22</v>
      </c>
      <c r="C62">
        <v>1</v>
      </c>
      <c r="D62" s="1">
        <v>42005</v>
      </c>
      <c r="E62">
        <v>20.75</v>
      </c>
      <c r="F62">
        <v>20.75</v>
      </c>
      <c r="G62" t="s">
        <v>13</v>
      </c>
      <c r="H62" t="s">
        <v>19</v>
      </c>
      <c r="I62" t="s">
        <v>31</v>
      </c>
    </row>
    <row r="63" spans="1:9" x14ac:dyDescent="0.35">
      <c r="A63">
        <v>62</v>
      </c>
      <c r="B63">
        <v>23</v>
      </c>
      <c r="C63">
        <v>1</v>
      </c>
      <c r="D63" s="1">
        <v>42005</v>
      </c>
      <c r="E63">
        <v>12.75</v>
      </c>
      <c r="F63">
        <v>12.75</v>
      </c>
      <c r="G63" t="s">
        <v>22</v>
      </c>
      <c r="H63" t="s">
        <v>19</v>
      </c>
      <c r="I63" t="s">
        <v>31</v>
      </c>
    </row>
    <row r="64" spans="1:9" x14ac:dyDescent="0.35">
      <c r="A64">
        <v>63</v>
      </c>
      <c r="B64">
        <v>24</v>
      </c>
      <c r="C64">
        <v>1</v>
      </c>
      <c r="D64" s="1">
        <v>42005</v>
      </c>
      <c r="E64">
        <v>16.75</v>
      </c>
      <c r="F64">
        <v>16.75</v>
      </c>
      <c r="G64" t="s">
        <v>9</v>
      </c>
      <c r="H64" t="s">
        <v>19</v>
      </c>
      <c r="I64" t="s">
        <v>23</v>
      </c>
    </row>
    <row r="65" spans="1:9" x14ac:dyDescent="0.35">
      <c r="A65">
        <v>64</v>
      </c>
      <c r="B65">
        <v>24</v>
      </c>
      <c r="C65">
        <v>1</v>
      </c>
      <c r="D65" s="1">
        <v>42005</v>
      </c>
      <c r="E65">
        <v>16</v>
      </c>
      <c r="F65">
        <v>16</v>
      </c>
      <c r="G65" t="s">
        <v>9</v>
      </c>
      <c r="H65" t="s">
        <v>10</v>
      </c>
      <c r="I65" t="s">
        <v>27</v>
      </c>
    </row>
    <row r="66" spans="1:9" x14ac:dyDescent="0.35">
      <c r="A66">
        <v>65</v>
      </c>
      <c r="B66">
        <v>24</v>
      </c>
      <c r="C66">
        <v>1</v>
      </c>
      <c r="D66" s="1">
        <v>42005</v>
      </c>
      <c r="E66">
        <v>12.5</v>
      </c>
      <c r="F66">
        <v>12.5</v>
      </c>
      <c r="G66" t="s">
        <v>9</v>
      </c>
      <c r="H66" t="s">
        <v>10</v>
      </c>
      <c r="I66" t="s">
        <v>33</v>
      </c>
    </row>
    <row r="67" spans="1:9" x14ac:dyDescent="0.35">
      <c r="A67">
        <v>66</v>
      </c>
      <c r="B67">
        <v>24</v>
      </c>
      <c r="C67">
        <v>1</v>
      </c>
      <c r="D67" s="1">
        <v>42005</v>
      </c>
      <c r="E67">
        <v>12.5</v>
      </c>
      <c r="F67">
        <v>12.5</v>
      </c>
      <c r="G67" t="s">
        <v>22</v>
      </c>
      <c r="H67" t="s">
        <v>16</v>
      </c>
      <c r="I67" t="s">
        <v>21</v>
      </c>
    </row>
    <row r="68" spans="1:9" x14ac:dyDescent="0.35">
      <c r="A68">
        <v>67</v>
      </c>
      <c r="B68">
        <v>25</v>
      </c>
      <c r="C68">
        <v>1</v>
      </c>
      <c r="D68" s="1">
        <v>42005</v>
      </c>
      <c r="E68">
        <v>16.25</v>
      </c>
      <c r="F68">
        <v>16.25</v>
      </c>
      <c r="G68" t="s">
        <v>9</v>
      </c>
      <c r="H68" t="s">
        <v>16</v>
      </c>
      <c r="I68" t="s">
        <v>44</v>
      </c>
    </row>
    <row r="69" spans="1:9" x14ac:dyDescent="0.35">
      <c r="A69">
        <v>68</v>
      </c>
      <c r="B69">
        <v>25</v>
      </c>
      <c r="C69">
        <v>1</v>
      </c>
      <c r="D69" s="1">
        <v>42005</v>
      </c>
      <c r="E69">
        <v>20.75</v>
      </c>
      <c r="F69">
        <v>20.75</v>
      </c>
      <c r="G69" t="s">
        <v>13</v>
      </c>
      <c r="H69" t="s">
        <v>19</v>
      </c>
      <c r="I69" t="s">
        <v>20</v>
      </c>
    </row>
    <row r="70" spans="1:9" x14ac:dyDescent="0.35">
      <c r="A70">
        <v>69</v>
      </c>
      <c r="B70">
        <v>26</v>
      </c>
      <c r="C70">
        <v>1</v>
      </c>
      <c r="D70" s="1">
        <v>42005</v>
      </c>
      <c r="E70">
        <v>12</v>
      </c>
      <c r="F70">
        <v>12</v>
      </c>
      <c r="G70" t="s">
        <v>22</v>
      </c>
      <c r="H70" t="s">
        <v>10</v>
      </c>
      <c r="I70" t="s">
        <v>12</v>
      </c>
    </row>
    <row r="71" spans="1:9" x14ac:dyDescent="0.35">
      <c r="A71">
        <v>70</v>
      </c>
      <c r="B71">
        <v>26</v>
      </c>
      <c r="C71">
        <v>1</v>
      </c>
      <c r="D71" s="1">
        <v>42005</v>
      </c>
      <c r="E71">
        <v>20.25</v>
      </c>
      <c r="F71">
        <v>20.25</v>
      </c>
      <c r="G71" t="s">
        <v>13</v>
      </c>
      <c r="H71" t="s">
        <v>14</v>
      </c>
      <c r="I71" t="s">
        <v>30</v>
      </c>
    </row>
    <row r="72" spans="1:9" x14ac:dyDescent="0.35">
      <c r="A72">
        <v>71</v>
      </c>
      <c r="B72">
        <v>27</v>
      </c>
      <c r="C72">
        <v>1</v>
      </c>
      <c r="D72" s="1">
        <v>42005</v>
      </c>
      <c r="E72">
        <v>20.75</v>
      </c>
      <c r="F72">
        <v>20.75</v>
      </c>
      <c r="G72" t="s">
        <v>13</v>
      </c>
      <c r="H72" t="s">
        <v>19</v>
      </c>
      <c r="I72" t="s">
        <v>23</v>
      </c>
    </row>
    <row r="73" spans="1:9" x14ac:dyDescent="0.35">
      <c r="A73">
        <v>72</v>
      </c>
      <c r="B73">
        <v>27</v>
      </c>
      <c r="C73">
        <v>1</v>
      </c>
      <c r="D73" s="1">
        <v>42005</v>
      </c>
      <c r="E73">
        <v>16</v>
      </c>
      <c r="F73">
        <v>16</v>
      </c>
      <c r="G73" t="s">
        <v>9</v>
      </c>
      <c r="H73" t="s">
        <v>10</v>
      </c>
      <c r="I73" t="s">
        <v>12</v>
      </c>
    </row>
    <row r="74" spans="1:9" x14ac:dyDescent="0.35">
      <c r="A74">
        <v>73</v>
      </c>
      <c r="B74">
        <v>27</v>
      </c>
      <c r="C74">
        <v>1</v>
      </c>
      <c r="D74" s="1">
        <v>42005</v>
      </c>
      <c r="E74">
        <v>20.25</v>
      </c>
      <c r="F74">
        <v>20.25</v>
      </c>
      <c r="G74" t="s">
        <v>13</v>
      </c>
      <c r="H74" t="s">
        <v>14</v>
      </c>
      <c r="I74" t="s">
        <v>43</v>
      </c>
    </row>
    <row r="75" spans="1:9" x14ac:dyDescent="0.35">
      <c r="A75">
        <v>74</v>
      </c>
      <c r="B75">
        <v>28</v>
      </c>
      <c r="C75">
        <v>1</v>
      </c>
      <c r="D75" s="1">
        <v>42005</v>
      </c>
      <c r="E75">
        <v>12.75</v>
      </c>
      <c r="F75">
        <v>12.75</v>
      </c>
      <c r="G75" t="s">
        <v>22</v>
      </c>
      <c r="H75" t="s">
        <v>19</v>
      </c>
      <c r="I75" t="s">
        <v>45</v>
      </c>
    </row>
    <row r="76" spans="1:9" x14ac:dyDescent="0.35">
      <c r="A76">
        <v>75</v>
      </c>
      <c r="B76">
        <v>29</v>
      </c>
      <c r="C76">
        <v>1</v>
      </c>
      <c r="D76" s="1">
        <v>42005</v>
      </c>
      <c r="E76">
        <v>12</v>
      </c>
      <c r="F76">
        <v>12</v>
      </c>
      <c r="G76" t="s">
        <v>22</v>
      </c>
      <c r="H76" t="s">
        <v>14</v>
      </c>
      <c r="I76" t="s">
        <v>26</v>
      </c>
    </row>
    <row r="77" spans="1:9" x14ac:dyDescent="0.35">
      <c r="A77">
        <v>76</v>
      </c>
      <c r="B77">
        <v>30</v>
      </c>
      <c r="C77">
        <v>1</v>
      </c>
      <c r="D77" s="1">
        <v>42005</v>
      </c>
      <c r="E77">
        <v>20.75</v>
      </c>
      <c r="F77">
        <v>20.75</v>
      </c>
      <c r="G77" t="s">
        <v>13</v>
      </c>
      <c r="H77" t="s">
        <v>19</v>
      </c>
      <c r="I77" t="s">
        <v>20</v>
      </c>
    </row>
    <row r="78" spans="1:9" x14ac:dyDescent="0.35">
      <c r="A78">
        <v>77</v>
      </c>
      <c r="B78">
        <v>31</v>
      </c>
      <c r="C78">
        <v>1</v>
      </c>
      <c r="D78" s="1">
        <v>42005</v>
      </c>
      <c r="E78">
        <v>16</v>
      </c>
      <c r="F78">
        <v>16</v>
      </c>
      <c r="G78" t="s">
        <v>9</v>
      </c>
      <c r="H78" t="s">
        <v>14</v>
      </c>
      <c r="I78" t="s">
        <v>18</v>
      </c>
    </row>
    <row r="79" spans="1:9" x14ac:dyDescent="0.35">
      <c r="A79">
        <v>78</v>
      </c>
      <c r="B79">
        <v>31</v>
      </c>
      <c r="C79">
        <v>1</v>
      </c>
      <c r="D79" s="1">
        <v>42005</v>
      </c>
      <c r="E79">
        <v>9.75</v>
      </c>
      <c r="F79">
        <v>9.75</v>
      </c>
      <c r="G79" t="s">
        <v>22</v>
      </c>
      <c r="H79" t="s">
        <v>10</v>
      </c>
      <c r="I79" t="s">
        <v>33</v>
      </c>
    </row>
    <row r="80" spans="1:9" x14ac:dyDescent="0.35">
      <c r="A80">
        <v>79</v>
      </c>
      <c r="B80">
        <v>32</v>
      </c>
      <c r="C80">
        <v>1</v>
      </c>
      <c r="D80" s="1">
        <v>42005</v>
      </c>
      <c r="E80">
        <v>12</v>
      </c>
      <c r="F80">
        <v>12</v>
      </c>
      <c r="G80" t="s">
        <v>22</v>
      </c>
      <c r="H80" t="s">
        <v>10</v>
      </c>
      <c r="I80" t="s">
        <v>35</v>
      </c>
    </row>
    <row r="81" spans="1:9" x14ac:dyDescent="0.35">
      <c r="A81">
        <v>80</v>
      </c>
      <c r="B81">
        <v>32</v>
      </c>
      <c r="C81">
        <v>1</v>
      </c>
      <c r="D81" s="1">
        <v>42005</v>
      </c>
      <c r="E81">
        <v>20.25</v>
      </c>
      <c r="F81">
        <v>20.25</v>
      </c>
      <c r="G81" t="s">
        <v>13</v>
      </c>
      <c r="H81" t="s">
        <v>14</v>
      </c>
      <c r="I81" t="s">
        <v>26</v>
      </c>
    </row>
    <row r="82" spans="1:9" x14ac:dyDescent="0.35">
      <c r="A82">
        <v>81</v>
      </c>
      <c r="B82">
        <v>32</v>
      </c>
      <c r="C82">
        <v>1</v>
      </c>
      <c r="D82" s="1">
        <v>42005</v>
      </c>
      <c r="E82">
        <v>20.5</v>
      </c>
      <c r="F82">
        <v>20.5</v>
      </c>
      <c r="G82" t="s">
        <v>13</v>
      </c>
      <c r="H82" t="s">
        <v>10</v>
      </c>
      <c r="I82" t="s">
        <v>27</v>
      </c>
    </row>
    <row r="83" spans="1:9" x14ac:dyDescent="0.35">
      <c r="A83">
        <v>82</v>
      </c>
      <c r="B83">
        <v>32</v>
      </c>
      <c r="C83">
        <v>1</v>
      </c>
      <c r="D83" s="1">
        <v>42005</v>
      </c>
      <c r="E83">
        <v>16.5</v>
      </c>
      <c r="F83">
        <v>16.5</v>
      </c>
      <c r="G83" t="s">
        <v>9</v>
      </c>
      <c r="H83" t="s">
        <v>16</v>
      </c>
      <c r="I83" t="s">
        <v>17</v>
      </c>
    </row>
    <row r="84" spans="1:9" x14ac:dyDescent="0.35">
      <c r="A84">
        <v>83</v>
      </c>
      <c r="B84">
        <v>33</v>
      </c>
      <c r="C84">
        <v>1</v>
      </c>
      <c r="D84" s="1">
        <v>42005</v>
      </c>
      <c r="E84">
        <v>20.75</v>
      </c>
      <c r="F84">
        <v>20.75</v>
      </c>
      <c r="G84" t="s">
        <v>13</v>
      </c>
      <c r="H84" t="s">
        <v>19</v>
      </c>
      <c r="I84" t="s">
        <v>23</v>
      </c>
    </row>
    <row r="85" spans="1:9" x14ac:dyDescent="0.35">
      <c r="A85">
        <v>84</v>
      </c>
      <c r="B85">
        <v>33</v>
      </c>
      <c r="C85">
        <v>1</v>
      </c>
      <c r="D85" s="1">
        <v>42005</v>
      </c>
      <c r="E85">
        <v>12</v>
      </c>
      <c r="F85">
        <v>12</v>
      </c>
      <c r="G85" t="s">
        <v>22</v>
      </c>
      <c r="H85" t="s">
        <v>14</v>
      </c>
      <c r="I85" t="s">
        <v>26</v>
      </c>
    </row>
    <row r="86" spans="1:9" x14ac:dyDescent="0.35">
      <c r="A86">
        <v>85</v>
      </c>
      <c r="B86">
        <v>34</v>
      </c>
      <c r="C86">
        <v>1</v>
      </c>
      <c r="D86" s="1">
        <v>42005</v>
      </c>
      <c r="E86">
        <v>12</v>
      </c>
      <c r="F86">
        <v>12</v>
      </c>
      <c r="G86" t="s">
        <v>22</v>
      </c>
      <c r="H86" t="s">
        <v>10</v>
      </c>
      <c r="I86" t="s">
        <v>24</v>
      </c>
    </row>
    <row r="87" spans="1:9" x14ac:dyDescent="0.35">
      <c r="A87">
        <v>86</v>
      </c>
      <c r="B87">
        <v>35</v>
      </c>
      <c r="C87">
        <v>1</v>
      </c>
      <c r="D87" s="1">
        <v>42005</v>
      </c>
      <c r="E87">
        <v>16</v>
      </c>
      <c r="F87">
        <v>16</v>
      </c>
      <c r="G87" t="s">
        <v>9</v>
      </c>
      <c r="H87" t="s">
        <v>14</v>
      </c>
      <c r="I87" t="s">
        <v>26</v>
      </c>
    </row>
    <row r="88" spans="1:9" x14ac:dyDescent="0.35">
      <c r="A88">
        <v>87</v>
      </c>
      <c r="B88">
        <v>35</v>
      </c>
      <c r="C88">
        <v>1</v>
      </c>
      <c r="D88" s="1">
        <v>42005</v>
      </c>
      <c r="E88">
        <v>17.5</v>
      </c>
      <c r="F88">
        <v>17.5</v>
      </c>
      <c r="G88" t="s">
        <v>13</v>
      </c>
      <c r="H88" t="s">
        <v>10</v>
      </c>
      <c r="I88" t="s">
        <v>46</v>
      </c>
    </row>
    <row r="89" spans="1:9" x14ac:dyDescent="0.35">
      <c r="A89">
        <v>88</v>
      </c>
      <c r="B89">
        <v>35</v>
      </c>
      <c r="C89">
        <v>1</v>
      </c>
      <c r="D89" s="1">
        <v>42005</v>
      </c>
      <c r="E89">
        <v>12.5</v>
      </c>
      <c r="F89">
        <v>12.5</v>
      </c>
      <c r="G89" t="s">
        <v>9</v>
      </c>
      <c r="H89" t="s">
        <v>10</v>
      </c>
      <c r="I89" t="s">
        <v>33</v>
      </c>
    </row>
    <row r="90" spans="1:9" x14ac:dyDescent="0.35">
      <c r="A90">
        <v>89</v>
      </c>
      <c r="B90">
        <v>35</v>
      </c>
      <c r="C90">
        <v>1</v>
      </c>
      <c r="D90" s="1">
        <v>42005</v>
      </c>
      <c r="E90">
        <v>20.75</v>
      </c>
      <c r="F90">
        <v>20.75</v>
      </c>
      <c r="G90" t="s">
        <v>13</v>
      </c>
      <c r="H90" t="s">
        <v>19</v>
      </c>
      <c r="I90" t="s">
        <v>20</v>
      </c>
    </row>
    <row r="91" spans="1:9" x14ac:dyDescent="0.35">
      <c r="A91">
        <v>90</v>
      </c>
      <c r="B91">
        <v>36</v>
      </c>
      <c r="C91">
        <v>1</v>
      </c>
      <c r="D91" s="1">
        <v>42005</v>
      </c>
      <c r="E91">
        <v>16.75</v>
      </c>
      <c r="F91">
        <v>16.75</v>
      </c>
      <c r="G91" t="s">
        <v>9</v>
      </c>
      <c r="H91" t="s">
        <v>19</v>
      </c>
      <c r="I91" t="s">
        <v>23</v>
      </c>
    </row>
    <row r="92" spans="1:9" x14ac:dyDescent="0.35">
      <c r="A92">
        <v>91</v>
      </c>
      <c r="B92">
        <v>36</v>
      </c>
      <c r="C92">
        <v>1</v>
      </c>
      <c r="D92" s="1">
        <v>42005</v>
      </c>
      <c r="E92">
        <v>16</v>
      </c>
      <c r="F92">
        <v>16</v>
      </c>
      <c r="G92" t="s">
        <v>9</v>
      </c>
      <c r="H92" t="s">
        <v>10</v>
      </c>
      <c r="I92" t="s">
        <v>12</v>
      </c>
    </row>
    <row r="93" spans="1:9" x14ac:dyDescent="0.35">
      <c r="A93">
        <v>92</v>
      </c>
      <c r="B93">
        <v>37</v>
      </c>
      <c r="C93">
        <v>1</v>
      </c>
      <c r="D93" s="1">
        <v>42005</v>
      </c>
      <c r="E93">
        <v>20.75</v>
      </c>
      <c r="F93">
        <v>20.75</v>
      </c>
      <c r="G93" t="s">
        <v>13</v>
      </c>
      <c r="H93" t="s">
        <v>16</v>
      </c>
      <c r="I93" t="s">
        <v>17</v>
      </c>
    </row>
    <row r="94" spans="1:9" x14ac:dyDescent="0.35">
      <c r="A94">
        <v>93</v>
      </c>
      <c r="B94">
        <v>37</v>
      </c>
      <c r="C94">
        <v>1</v>
      </c>
      <c r="D94" s="1">
        <v>42005</v>
      </c>
      <c r="E94">
        <v>20.25</v>
      </c>
      <c r="F94">
        <v>20.25</v>
      </c>
      <c r="G94" t="s">
        <v>13</v>
      </c>
      <c r="H94" t="s">
        <v>14</v>
      </c>
      <c r="I94" t="s">
        <v>18</v>
      </c>
    </row>
    <row r="95" spans="1:9" x14ac:dyDescent="0.35">
      <c r="A95">
        <v>94</v>
      </c>
      <c r="B95">
        <v>38</v>
      </c>
      <c r="C95">
        <v>1</v>
      </c>
      <c r="D95" s="1">
        <v>42005</v>
      </c>
      <c r="E95">
        <v>10.5</v>
      </c>
      <c r="F95">
        <v>10.5</v>
      </c>
      <c r="G95" t="s">
        <v>22</v>
      </c>
      <c r="H95" t="s">
        <v>10</v>
      </c>
      <c r="I95" t="s">
        <v>11</v>
      </c>
    </row>
    <row r="96" spans="1:9" x14ac:dyDescent="0.35">
      <c r="A96">
        <v>95</v>
      </c>
      <c r="B96">
        <v>38</v>
      </c>
      <c r="C96">
        <v>1</v>
      </c>
      <c r="D96" s="1">
        <v>42005</v>
      </c>
      <c r="E96">
        <v>20.5</v>
      </c>
      <c r="F96">
        <v>20.5</v>
      </c>
      <c r="G96" t="s">
        <v>13</v>
      </c>
      <c r="H96" t="s">
        <v>10</v>
      </c>
      <c r="I96" t="s">
        <v>27</v>
      </c>
    </row>
    <row r="97" spans="1:9" x14ac:dyDescent="0.35">
      <c r="A97">
        <v>96</v>
      </c>
      <c r="B97">
        <v>39</v>
      </c>
      <c r="C97">
        <v>1</v>
      </c>
      <c r="D97" s="1">
        <v>42005</v>
      </c>
      <c r="E97">
        <v>20.75</v>
      </c>
      <c r="F97">
        <v>20.75</v>
      </c>
      <c r="G97" t="s">
        <v>13</v>
      </c>
      <c r="H97" t="s">
        <v>16</v>
      </c>
      <c r="I97" t="s">
        <v>17</v>
      </c>
    </row>
    <row r="98" spans="1:9" x14ac:dyDescent="0.35">
      <c r="A98">
        <v>97</v>
      </c>
      <c r="B98">
        <v>40</v>
      </c>
      <c r="C98">
        <v>1</v>
      </c>
      <c r="D98" s="1">
        <v>42005</v>
      </c>
      <c r="E98">
        <v>17.95</v>
      </c>
      <c r="F98">
        <v>17.95</v>
      </c>
      <c r="G98" t="s">
        <v>13</v>
      </c>
      <c r="H98" t="s">
        <v>14</v>
      </c>
      <c r="I98" t="s">
        <v>37</v>
      </c>
    </row>
    <row r="99" spans="1:9" x14ac:dyDescent="0.35">
      <c r="A99">
        <v>98</v>
      </c>
      <c r="B99">
        <v>40</v>
      </c>
      <c r="C99">
        <v>1</v>
      </c>
      <c r="D99" s="1">
        <v>42005</v>
      </c>
      <c r="E99">
        <v>12.75</v>
      </c>
      <c r="F99">
        <v>12.75</v>
      </c>
      <c r="G99" t="s">
        <v>22</v>
      </c>
      <c r="H99" t="s">
        <v>19</v>
      </c>
      <c r="I99" t="s">
        <v>31</v>
      </c>
    </row>
    <row r="100" spans="1:9" x14ac:dyDescent="0.35">
      <c r="A100">
        <v>99</v>
      </c>
      <c r="B100">
        <v>41</v>
      </c>
      <c r="C100">
        <v>1</v>
      </c>
      <c r="D100" s="1">
        <v>42005</v>
      </c>
      <c r="E100">
        <v>14.75</v>
      </c>
      <c r="F100">
        <v>14.75</v>
      </c>
      <c r="G100" t="s">
        <v>9</v>
      </c>
      <c r="H100" t="s">
        <v>14</v>
      </c>
      <c r="I100" t="s">
        <v>37</v>
      </c>
    </row>
    <row r="101" spans="1:9" x14ac:dyDescent="0.35">
      <c r="A101">
        <v>100</v>
      </c>
      <c r="B101">
        <v>41</v>
      </c>
      <c r="C101">
        <v>1</v>
      </c>
      <c r="D101" s="1">
        <v>42005</v>
      </c>
      <c r="E101">
        <v>12</v>
      </c>
      <c r="F101">
        <v>12</v>
      </c>
      <c r="G101" t="s">
        <v>22</v>
      </c>
      <c r="H101" t="s">
        <v>14</v>
      </c>
      <c r="I101" t="s">
        <v>26</v>
      </c>
    </row>
    <row r="102" spans="1:9" x14ac:dyDescent="0.35">
      <c r="A102">
        <v>101</v>
      </c>
      <c r="B102">
        <v>42</v>
      </c>
      <c r="C102">
        <v>1</v>
      </c>
      <c r="D102" s="1">
        <v>42005</v>
      </c>
      <c r="E102">
        <v>12</v>
      </c>
      <c r="F102">
        <v>12</v>
      </c>
      <c r="G102" t="s">
        <v>22</v>
      </c>
      <c r="H102" t="s">
        <v>10</v>
      </c>
      <c r="I102" t="s">
        <v>35</v>
      </c>
    </row>
    <row r="103" spans="1:9" x14ac:dyDescent="0.35">
      <c r="A103">
        <v>102</v>
      </c>
      <c r="B103">
        <v>42</v>
      </c>
      <c r="C103">
        <v>1</v>
      </c>
      <c r="D103" s="1">
        <v>42005</v>
      </c>
      <c r="E103">
        <v>18.5</v>
      </c>
      <c r="F103">
        <v>18.5</v>
      </c>
      <c r="G103" t="s">
        <v>13</v>
      </c>
      <c r="H103" t="s">
        <v>14</v>
      </c>
      <c r="I103" t="s">
        <v>15</v>
      </c>
    </row>
    <row r="104" spans="1:9" x14ac:dyDescent="0.35">
      <c r="A104">
        <v>103</v>
      </c>
      <c r="B104">
        <v>42</v>
      </c>
      <c r="C104">
        <v>1</v>
      </c>
      <c r="D104" s="1">
        <v>42005</v>
      </c>
      <c r="E104">
        <v>20.25</v>
      </c>
      <c r="F104">
        <v>20.25</v>
      </c>
      <c r="G104" t="s">
        <v>13</v>
      </c>
      <c r="H104" t="s">
        <v>14</v>
      </c>
      <c r="I104" t="s">
        <v>18</v>
      </c>
    </row>
    <row r="105" spans="1:9" x14ac:dyDescent="0.35">
      <c r="A105">
        <v>104</v>
      </c>
      <c r="B105">
        <v>42</v>
      </c>
      <c r="C105">
        <v>1</v>
      </c>
      <c r="D105" s="1">
        <v>42005</v>
      </c>
      <c r="E105">
        <v>16.5</v>
      </c>
      <c r="F105">
        <v>16.5</v>
      </c>
      <c r="G105" t="s">
        <v>9</v>
      </c>
      <c r="H105" t="s">
        <v>16</v>
      </c>
      <c r="I105" t="s">
        <v>42</v>
      </c>
    </row>
    <row r="106" spans="1:9" x14ac:dyDescent="0.35">
      <c r="A106">
        <v>105</v>
      </c>
      <c r="B106">
        <v>43</v>
      </c>
      <c r="C106">
        <v>1</v>
      </c>
      <c r="D106" s="1">
        <v>42005</v>
      </c>
      <c r="E106">
        <v>16.75</v>
      </c>
      <c r="F106">
        <v>16.75</v>
      </c>
      <c r="G106" t="s">
        <v>9</v>
      </c>
      <c r="H106" t="s">
        <v>19</v>
      </c>
      <c r="I106" t="s">
        <v>45</v>
      </c>
    </row>
    <row r="107" spans="1:9" x14ac:dyDescent="0.35">
      <c r="A107">
        <v>106</v>
      </c>
      <c r="B107">
        <v>43</v>
      </c>
      <c r="C107">
        <v>1</v>
      </c>
      <c r="D107" s="1">
        <v>42005</v>
      </c>
      <c r="E107">
        <v>16.5</v>
      </c>
      <c r="F107">
        <v>16.5</v>
      </c>
      <c r="G107" t="s">
        <v>9</v>
      </c>
      <c r="H107" t="s">
        <v>16</v>
      </c>
      <c r="I107" t="s">
        <v>17</v>
      </c>
    </row>
    <row r="108" spans="1:9" x14ac:dyDescent="0.35">
      <c r="A108">
        <v>107</v>
      </c>
      <c r="B108">
        <v>43</v>
      </c>
      <c r="C108">
        <v>1</v>
      </c>
      <c r="D108" s="1">
        <v>42005</v>
      </c>
      <c r="E108">
        <v>20.75</v>
      </c>
      <c r="F108">
        <v>20.75</v>
      </c>
      <c r="G108" t="s">
        <v>13</v>
      </c>
      <c r="H108" t="s">
        <v>16</v>
      </c>
      <c r="I108" t="s">
        <v>42</v>
      </c>
    </row>
    <row r="109" spans="1:9" x14ac:dyDescent="0.35">
      <c r="A109">
        <v>108</v>
      </c>
      <c r="B109">
        <v>44</v>
      </c>
      <c r="C109">
        <v>1</v>
      </c>
      <c r="D109" s="1">
        <v>42005</v>
      </c>
      <c r="E109">
        <v>12.5</v>
      </c>
      <c r="F109">
        <v>12.5</v>
      </c>
      <c r="G109" t="s">
        <v>22</v>
      </c>
      <c r="H109" t="s">
        <v>14</v>
      </c>
      <c r="I109" t="s">
        <v>29</v>
      </c>
    </row>
    <row r="110" spans="1:9" x14ac:dyDescent="0.35">
      <c r="A110">
        <v>109</v>
      </c>
      <c r="B110">
        <v>45</v>
      </c>
      <c r="C110">
        <v>1</v>
      </c>
      <c r="D110" s="1">
        <v>42005</v>
      </c>
      <c r="E110">
        <v>17.95</v>
      </c>
      <c r="F110">
        <v>17.95</v>
      </c>
      <c r="G110" t="s">
        <v>13</v>
      </c>
      <c r="H110" t="s">
        <v>14</v>
      </c>
      <c r="I110" t="s">
        <v>37</v>
      </c>
    </row>
    <row r="111" spans="1:9" x14ac:dyDescent="0.35">
      <c r="A111">
        <v>110</v>
      </c>
      <c r="B111">
        <v>45</v>
      </c>
      <c r="C111">
        <v>1</v>
      </c>
      <c r="D111" s="1">
        <v>42005</v>
      </c>
      <c r="E111">
        <v>10.5</v>
      </c>
      <c r="F111">
        <v>10.5</v>
      </c>
      <c r="G111" t="s">
        <v>22</v>
      </c>
      <c r="H111" t="s">
        <v>10</v>
      </c>
      <c r="I111" t="s">
        <v>11</v>
      </c>
    </row>
    <row r="112" spans="1:9" x14ac:dyDescent="0.35">
      <c r="A112">
        <v>111</v>
      </c>
      <c r="B112">
        <v>45</v>
      </c>
      <c r="C112">
        <v>1</v>
      </c>
      <c r="D112" s="1">
        <v>42005</v>
      </c>
      <c r="E112">
        <v>16.75</v>
      </c>
      <c r="F112">
        <v>16.75</v>
      </c>
      <c r="G112" t="s">
        <v>9</v>
      </c>
      <c r="H112" t="s">
        <v>19</v>
      </c>
      <c r="I112" t="s">
        <v>20</v>
      </c>
    </row>
    <row r="113" spans="1:9" x14ac:dyDescent="0.35">
      <c r="A113">
        <v>112</v>
      </c>
      <c r="B113">
        <v>46</v>
      </c>
      <c r="C113">
        <v>1</v>
      </c>
      <c r="D113" s="1">
        <v>42005</v>
      </c>
      <c r="E113">
        <v>20.75</v>
      </c>
      <c r="F113">
        <v>20.75</v>
      </c>
      <c r="G113" t="s">
        <v>13</v>
      </c>
      <c r="H113" t="s">
        <v>19</v>
      </c>
      <c r="I113" t="s">
        <v>34</v>
      </c>
    </row>
    <row r="114" spans="1:9" x14ac:dyDescent="0.35">
      <c r="A114">
        <v>113</v>
      </c>
      <c r="B114">
        <v>46</v>
      </c>
      <c r="C114">
        <v>1</v>
      </c>
      <c r="D114" s="1">
        <v>42005</v>
      </c>
      <c r="E114">
        <v>20.5</v>
      </c>
      <c r="F114">
        <v>20.5</v>
      </c>
      <c r="G114" t="s">
        <v>13</v>
      </c>
      <c r="H114" t="s">
        <v>10</v>
      </c>
      <c r="I114" t="s">
        <v>12</v>
      </c>
    </row>
    <row r="115" spans="1:9" x14ac:dyDescent="0.35">
      <c r="A115">
        <v>114</v>
      </c>
      <c r="B115">
        <v>46</v>
      </c>
      <c r="C115">
        <v>1</v>
      </c>
      <c r="D115" s="1">
        <v>42005</v>
      </c>
      <c r="E115">
        <v>16.75</v>
      </c>
      <c r="F115">
        <v>16.75</v>
      </c>
      <c r="G115" t="s">
        <v>9</v>
      </c>
      <c r="H115" t="s">
        <v>19</v>
      </c>
      <c r="I115" t="s">
        <v>20</v>
      </c>
    </row>
    <row r="116" spans="1:9" x14ac:dyDescent="0.35">
      <c r="A116">
        <v>115</v>
      </c>
      <c r="B116">
        <v>47</v>
      </c>
      <c r="C116">
        <v>1</v>
      </c>
      <c r="D116" s="1">
        <v>42005</v>
      </c>
      <c r="E116">
        <v>20.75</v>
      </c>
      <c r="F116">
        <v>20.75</v>
      </c>
      <c r="G116" t="s">
        <v>13</v>
      </c>
      <c r="H116" t="s">
        <v>19</v>
      </c>
      <c r="I116" t="s">
        <v>31</v>
      </c>
    </row>
    <row r="117" spans="1:9" x14ac:dyDescent="0.35">
      <c r="A117">
        <v>116</v>
      </c>
      <c r="B117">
        <v>47</v>
      </c>
      <c r="C117">
        <v>1</v>
      </c>
      <c r="D117" s="1">
        <v>42005</v>
      </c>
      <c r="E117">
        <v>12</v>
      </c>
      <c r="F117">
        <v>12</v>
      </c>
      <c r="G117" t="s">
        <v>22</v>
      </c>
      <c r="H117" t="s">
        <v>14</v>
      </c>
      <c r="I117" t="s">
        <v>30</v>
      </c>
    </row>
    <row r="118" spans="1:9" x14ac:dyDescent="0.35">
      <c r="A118">
        <v>117</v>
      </c>
      <c r="B118">
        <v>48</v>
      </c>
      <c r="C118">
        <v>1</v>
      </c>
      <c r="D118" s="1">
        <v>42005</v>
      </c>
      <c r="E118">
        <v>16.75</v>
      </c>
      <c r="F118">
        <v>16.75</v>
      </c>
      <c r="G118" t="s">
        <v>9</v>
      </c>
      <c r="H118" t="s">
        <v>19</v>
      </c>
      <c r="I118" t="s">
        <v>34</v>
      </c>
    </row>
    <row r="119" spans="1:9" x14ac:dyDescent="0.35">
      <c r="A119">
        <v>118</v>
      </c>
      <c r="B119">
        <v>48</v>
      </c>
      <c r="C119">
        <v>1</v>
      </c>
      <c r="D119" s="1">
        <v>42005</v>
      </c>
      <c r="E119">
        <v>12</v>
      </c>
      <c r="F119">
        <v>12</v>
      </c>
      <c r="G119" t="s">
        <v>22</v>
      </c>
      <c r="H119" t="s">
        <v>14</v>
      </c>
      <c r="I119" t="s">
        <v>26</v>
      </c>
    </row>
    <row r="120" spans="1:9" x14ac:dyDescent="0.35">
      <c r="A120">
        <v>119</v>
      </c>
      <c r="B120">
        <v>48</v>
      </c>
      <c r="C120">
        <v>1</v>
      </c>
      <c r="D120" s="1">
        <v>42005</v>
      </c>
      <c r="E120">
        <v>20.75</v>
      </c>
      <c r="F120">
        <v>20.75</v>
      </c>
      <c r="G120" t="s">
        <v>13</v>
      </c>
      <c r="H120" t="s">
        <v>16</v>
      </c>
      <c r="I120" t="s">
        <v>21</v>
      </c>
    </row>
    <row r="121" spans="1:9" x14ac:dyDescent="0.35">
      <c r="A121">
        <v>120</v>
      </c>
      <c r="B121">
        <v>48</v>
      </c>
      <c r="C121">
        <v>1</v>
      </c>
      <c r="D121" s="1">
        <v>42005</v>
      </c>
      <c r="E121">
        <v>20.75</v>
      </c>
      <c r="F121">
        <v>20.75</v>
      </c>
      <c r="G121" t="s">
        <v>13</v>
      </c>
      <c r="H121" t="s">
        <v>16</v>
      </c>
      <c r="I121" t="s">
        <v>28</v>
      </c>
    </row>
    <row r="122" spans="1:9" x14ac:dyDescent="0.35">
      <c r="A122">
        <v>121</v>
      </c>
      <c r="B122">
        <v>49</v>
      </c>
      <c r="C122">
        <v>1</v>
      </c>
      <c r="D122" s="1">
        <v>42005</v>
      </c>
      <c r="E122">
        <v>20.25</v>
      </c>
      <c r="F122">
        <v>20.25</v>
      </c>
      <c r="G122" t="s">
        <v>13</v>
      </c>
      <c r="H122" t="s">
        <v>16</v>
      </c>
      <c r="I122" t="s">
        <v>44</v>
      </c>
    </row>
    <row r="123" spans="1:9" x14ac:dyDescent="0.35">
      <c r="A123">
        <v>122</v>
      </c>
      <c r="B123">
        <v>50</v>
      </c>
      <c r="C123">
        <v>1</v>
      </c>
      <c r="D123" s="1">
        <v>42005</v>
      </c>
      <c r="E123">
        <v>25.5</v>
      </c>
      <c r="F123">
        <v>25.5</v>
      </c>
      <c r="G123" t="s">
        <v>47</v>
      </c>
      <c r="H123" t="s">
        <v>10</v>
      </c>
      <c r="I123" t="s">
        <v>24</v>
      </c>
    </row>
    <row r="124" spans="1:9" x14ac:dyDescent="0.35">
      <c r="A124">
        <v>123</v>
      </c>
      <c r="B124">
        <v>51</v>
      </c>
      <c r="C124">
        <v>1</v>
      </c>
      <c r="D124" s="1">
        <v>42005</v>
      </c>
      <c r="E124">
        <v>20.75</v>
      </c>
      <c r="F124">
        <v>20.75</v>
      </c>
      <c r="G124" t="s">
        <v>13</v>
      </c>
      <c r="H124" t="s">
        <v>19</v>
      </c>
      <c r="I124" t="s">
        <v>23</v>
      </c>
    </row>
    <row r="125" spans="1:9" x14ac:dyDescent="0.35">
      <c r="A125">
        <v>124</v>
      </c>
      <c r="B125">
        <v>51</v>
      </c>
      <c r="C125">
        <v>1</v>
      </c>
      <c r="D125" s="1">
        <v>42005</v>
      </c>
      <c r="E125">
        <v>17.5</v>
      </c>
      <c r="F125">
        <v>17.5</v>
      </c>
      <c r="G125" t="s">
        <v>13</v>
      </c>
      <c r="H125" t="s">
        <v>10</v>
      </c>
      <c r="I125" t="s">
        <v>46</v>
      </c>
    </row>
    <row r="126" spans="1:9" x14ac:dyDescent="0.35">
      <c r="A126">
        <v>125</v>
      </c>
      <c r="B126">
        <v>52</v>
      </c>
      <c r="C126">
        <v>1</v>
      </c>
      <c r="D126" s="1">
        <v>42005</v>
      </c>
      <c r="E126">
        <v>16.5</v>
      </c>
      <c r="F126">
        <v>16.5</v>
      </c>
      <c r="G126" t="s">
        <v>13</v>
      </c>
      <c r="H126" t="s">
        <v>10</v>
      </c>
      <c r="I126" t="s">
        <v>11</v>
      </c>
    </row>
    <row r="127" spans="1:9" x14ac:dyDescent="0.35">
      <c r="A127">
        <v>126</v>
      </c>
      <c r="B127">
        <v>52</v>
      </c>
      <c r="C127">
        <v>1</v>
      </c>
      <c r="D127" s="1">
        <v>42005</v>
      </c>
      <c r="E127">
        <v>20.25</v>
      </c>
      <c r="F127">
        <v>20.25</v>
      </c>
      <c r="G127" t="s">
        <v>13</v>
      </c>
      <c r="H127" t="s">
        <v>14</v>
      </c>
      <c r="I127" t="s">
        <v>18</v>
      </c>
    </row>
    <row r="128" spans="1:9" x14ac:dyDescent="0.35">
      <c r="A128">
        <v>127</v>
      </c>
      <c r="B128">
        <v>52</v>
      </c>
      <c r="C128">
        <v>1</v>
      </c>
      <c r="D128" s="1">
        <v>42005</v>
      </c>
      <c r="E128">
        <v>20.75</v>
      </c>
      <c r="F128">
        <v>20.75</v>
      </c>
      <c r="G128" t="s">
        <v>13</v>
      </c>
      <c r="H128" t="s">
        <v>16</v>
      </c>
      <c r="I128" t="s">
        <v>28</v>
      </c>
    </row>
    <row r="129" spans="1:9" x14ac:dyDescent="0.35">
      <c r="A129">
        <v>128</v>
      </c>
      <c r="B129">
        <v>53</v>
      </c>
      <c r="C129">
        <v>1</v>
      </c>
      <c r="D129" s="1">
        <v>42005</v>
      </c>
      <c r="E129">
        <v>11</v>
      </c>
      <c r="F129">
        <v>11</v>
      </c>
      <c r="G129" t="s">
        <v>22</v>
      </c>
      <c r="H129" t="s">
        <v>10</v>
      </c>
      <c r="I129" t="s">
        <v>46</v>
      </c>
    </row>
    <row r="130" spans="1:9" x14ac:dyDescent="0.35">
      <c r="A130">
        <v>129</v>
      </c>
      <c r="B130">
        <v>53</v>
      </c>
      <c r="C130">
        <v>1</v>
      </c>
      <c r="D130" s="1">
        <v>42005</v>
      </c>
      <c r="E130">
        <v>16.5</v>
      </c>
      <c r="F130">
        <v>16.5</v>
      </c>
      <c r="G130" t="s">
        <v>9</v>
      </c>
      <c r="H130" t="s">
        <v>16</v>
      </c>
      <c r="I130" t="s">
        <v>25</v>
      </c>
    </row>
    <row r="131" spans="1:9" x14ac:dyDescent="0.35">
      <c r="A131">
        <v>130</v>
      </c>
      <c r="B131">
        <v>54</v>
      </c>
      <c r="C131">
        <v>1</v>
      </c>
      <c r="D131" s="1">
        <v>42005</v>
      </c>
      <c r="E131">
        <v>16.5</v>
      </c>
      <c r="F131">
        <v>16.5</v>
      </c>
      <c r="G131" t="s">
        <v>9</v>
      </c>
      <c r="H131" t="s">
        <v>16</v>
      </c>
      <c r="I131" t="s">
        <v>21</v>
      </c>
    </row>
    <row r="132" spans="1:9" x14ac:dyDescent="0.35">
      <c r="A132">
        <v>131</v>
      </c>
      <c r="B132">
        <v>54</v>
      </c>
      <c r="C132">
        <v>1</v>
      </c>
      <c r="D132" s="1">
        <v>42005</v>
      </c>
      <c r="E132">
        <v>20.75</v>
      </c>
      <c r="F132">
        <v>20.75</v>
      </c>
      <c r="G132" t="s">
        <v>13</v>
      </c>
      <c r="H132" t="s">
        <v>19</v>
      </c>
      <c r="I132" t="s">
        <v>20</v>
      </c>
    </row>
    <row r="133" spans="1:9" x14ac:dyDescent="0.35">
      <c r="A133">
        <v>132</v>
      </c>
      <c r="B133">
        <v>55</v>
      </c>
      <c r="C133">
        <v>1</v>
      </c>
      <c r="D133" s="1">
        <v>42005</v>
      </c>
      <c r="E133">
        <v>12.5</v>
      </c>
      <c r="F133">
        <v>12.5</v>
      </c>
      <c r="G133" t="s">
        <v>22</v>
      </c>
      <c r="H133" t="s">
        <v>16</v>
      </c>
      <c r="I133" t="s">
        <v>42</v>
      </c>
    </row>
    <row r="134" spans="1:9" x14ac:dyDescent="0.35">
      <c r="A134">
        <v>133</v>
      </c>
      <c r="B134">
        <v>55</v>
      </c>
      <c r="C134">
        <v>1</v>
      </c>
      <c r="D134" s="1">
        <v>42005</v>
      </c>
      <c r="E134">
        <v>20.75</v>
      </c>
      <c r="F134">
        <v>20.75</v>
      </c>
      <c r="G134" t="s">
        <v>13</v>
      </c>
      <c r="H134" t="s">
        <v>16</v>
      </c>
      <c r="I134" t="s">
        <v>28</v>
      </c>
    </row>
    <row r="135" spans="1:9" x14ac:dyDescent="0.35">
      <c r="A135">
        <v>134</v>
      </c>
      <c r="B135">
        <v>56</v>
      </c>
      <c r="C135">
        <v>1</v>
      </c>
      <c r="D135" s="1">
        <v>42005</v>
      </c>
      <c r="E135">
        <v>16</v>
      </c>
      <c r="F135">
        <v>16</v>
      </c>
      <c r="G135" t="s">
        <v>9</v>
      </c>
      <c r="H135" t="s">
        <v>10</v>
      </c>
      <c r="I135" t="s">
        <v>12</v>
      </c>
    </row>
    <row r="136" spans="1:9" x14ac:dyDescent="0.35">
      <c r="A136">
        <v>135</v>
      </c>
      <c r="B136">
        <v>56</v>
      </c>
      <c r="C136">
        <v>1</v>
      </c>
      <c r="D136" s="1">
        <v>42005</v>
      </c>
      <c r="E136">
        <v>20.25</v>
      </c>
      <c r="F136">
        <v>20.25</v>
      </c>
      <c r="G136" t="s">
        <v>13</v>
      </c>
      <c r="H136" t="s">
        <v>14</v>
      </c>
      <c r="I136" t="s">
        <v>41</v>
      </c>
    </row>
    <row r="137" spans="1:9" x14ac:dyDescent="0.35">
      <c r="A137">
        <v>136</v>
      </c>
      <c r="B137">
        <v>56</v>
      </c>
      <c r="C137">
        <v>1</v>
      </c>
      <c r="D137" s="1">
        <v>42005</v>
      </c>
      <c r="E137">
        <v>16.75</v>
      </c>
      <c r="F137">
        <v>16.75</v>
      </c>
      <c r="G137" t="s">
        <v>9</v>
      </c>
      <c r="H137" t="s">
        <v>19</v>
      </c>
      <c r="I137" t="s">
        <v>31</v>
      </c>
    </row>
    <row r="138" spans="1:9" x14ac:dyDescent="0.35">
      <c r="A138">
        <v>137</v>
      </c>
      <c r="B138">
        <v>57</v>
      </c>
      <c r="C138">
        <v>1</v>
      </c>
      <c r="D138" s="1">
        <v>42005</v>
      </c>
      <c r="E138">
        <v>16</v>
      </c>
      <c r="F138">
        <v>16</v>
      </c>
      <c r="G138" t="s">
        <v>9</v>
      </c>
      <c r="H138" t="s">
        <v>10</v>
      </c>
      <c r="I138" t="s">
        <v>12</v>
      </c>
    </row>
    <row r="139" spans="1:9" x14ac:dyDescent="0.35">
      <c r="A139">
        <v>138</v>
      </c>
      <c r="B139">
        <v>58</v>
      </c>
      <c r="C139">
        <v>1</v>
      </c>
      <c r="D139" s="1">
        <v>42005</v>
      </c>
      <c r="E139">
        <v>18.5</v>
      </c>
      <c r="F139">
        <v>18.5</v>
      </c>
      <c r="G139" t="s">
        <v>13</v>
      </c>
      <c r="H139" t="s">
        <v>14</v>
      </c>
      <c r="I139" t="s">
        <v>15</v>
      </c>
    </row>
    <row r="140" spans="1:9" x14ac:dyDescent="0.35">
      <c r="A140">
        <v>139</v>
      </c>
      <c r="B140">
        <v>58</v>
      </c>
      <c r="C140">
        <v>1</v>
      </c>
      <c r="D140" s="1">
        <v>42005</v>
      </c>
      <c r="E140">
        <v>12.5</v>
      </c>
      <c r="F140">
        <v>12.5</v>
      </c>
      <c r="G140" t="s">
        <v>9</v>
      </c>
      <c r="H140" t="s">
        <v>10</v>
      </c>
      <c r="I140" t="s">
        <v>33</v>
      </c>
    </row>
    <row r="141" spans="1:9" x14ac:dyDescent="0.35">
      <c r="A141">
        <v>140</v>
      </c>
      <c r="B141">
        <v>59</v>
      </c>
      <c r="C141">
        <v>1</v>
      </c>
      <c r="D141" s="1">
        <v>42005</v>
      </c>
      <c r="E141">
        <v>12.75</v>
      </c>
      <c r="F141">
        <v>12.75</v>
      </c>
      <c r="G141" t="s">
        <v>22</v>
      </c>
      <c r="H141" t="s">
        <v>14</v>
      </c>
      <c r="I141" t="s">
        <v>40</v>
      </c>
    </row>
    <row r="142" spans="1:9" x14ac:dyDescent="0.35">
      <c r="A142">
        <v>141</v>
      </c>
      <c r="B142">
        <v>59</v>
      </c>
      <c r="C142">
        <v>1</v>
      </c>
      <c r="D142" s="1">
        <v>42005</v>
      </c>
      <c r="E142">
        <v>11</v>
      </c>
      <c r="F142">
        <v>11</v>
      </c>
      <c r="G142" t="s">
        <v>22</v>
      </c>
      <c r="H142" t="s">
        <v>10</v>
      </c>
      <c r="I142" t="s">
        <v>46</v>
      </c>
    </row>
    <row r="143" spans="1:9" x14ac:dyDescent="0.35">
      <c r="A143">
        <v>142</v>
      </c>
      <c r="B143">
        <v>59</v>
      </c>
      <c r="C143">
        <v>1</v>
      </c>
      <c r="D143" s="1">
        <v>42005</v>
      </c>
      <c r="E143">
        <v>15.25</v>
      </c>
      <c r="F143">
        <v>15.25</v>
      </c>
      <c r="G143" t="s">
        <v>13</v>
      </c>
      <c r="H143" t="s">
        <v>10</v>
      </c>
      <c r="I143" t="s">
        <v>33</v>
      </c>
    </row>
    <row r="144" spans="1:9" x14ac:dyDescent="0.35">
      <c r="A144">
        <v>143</v>
      </c>
      <c r="B144">
        <v>60</v>
      </c>
      <c r="C144">
        <v>1</v>
      </c>
      <c r="D144" s="1">
        <v>42005</v>
      </c>
      <c r="E144">
        <v>20.75</v>
      </c>
      <c r="F144">
        <v>20.75</v>
      </c>
      <c r="G144" t="s">
        <v>13</v>
      </c>
      <c r="H144" t="s">
        <v>19</v>
      </c>
      <c r="I144" t="s">
        <v>34</v>
      </c>
    </row>
    <row r="145" spans="1:9" x14ac:dyDescent="0.35">
      <c r="A145">
        <v>144</v>
      </c>
      <c r="B145">
        <v>60</v>
      </c>
      <c r="C145">
        <v>1</v>
      </c>
      <c r="D145" s="1">
        <v>42005</v>
      </c>
      <c r="E145">
        <v>14.75</v>
      </c>
      <c r="F145">
        <v>14.75</v>
      </c>
      <c r="G145" t="s">
        <v>9</v>
      </c>
      <c r="H145" t="s">
        <v>14</v>
      </c>
      <c r="I145" t="s">
        <v>37</v>
      </c>
    </row>
    <row r="146" spans="1:9" x14ac:dyDescent="0.35">
      <c r="A146">
        <v>145</v>
      </c>
      <c r="B146">
        <v>61</v>
      </c>
      <c r="C146">
        <v>1</v>
      </c>
      <c r="D146" s="1">
        <v>42005</v>
      </c>
      <c r="E146">
        <v>16.75</v>
      </c>
      <c r="F146">
        <v>16.75</v>
      </c>
      <c r="G146" t="s">
        <v>9</v>
      </c>
      <c r="H146" t="s">
        <v>19</v>
      </c>
      <c r="I146" t="s">
        <v>23</v>
      </c>
    </row>
    <row r="147" spans="1:9" x14ac:dyDescent="0.35">
      <c r="A147">
        <v>146</v>
      </c>
      <c r="B147">
        <v>61</v>
      </c>
      <c r="C147">
        <v>1</v>
      </c>
      <c r="D147" s="1">
        <v>42005</v>
      </c>
      <c r="E147">
        <v>20.75</v>
      </c>
      <c r="F147">
        <v>20.75</v>
      </c>
      <c r="G147" t="s">
        <v>13</v>
      </c>
      <c r="H147" t="s">
        <v>16</v>
      </c>
      <c r="I147" t="s">
        <v>17</v>
      </c>
    </row>
    <row r="148" spans="1:9" x14ac:dyDescent="0.35">
      <c r="A148">
        <v>147</v>
      </c>
      <c r="B148">
        <v>62</v>
      </c>
      <c r="C148">
        <v>1</v>
      </c>
      <c r="D148" s="1">
        <v>42005</v>
      </c>
      <c r="E148">
        <v>16.75</v>
      </c>
      <c r="F148">
        <v>16.75</v>
      </c>
      <c r="G148" t="s">
        <v>9</v>
      </c>
      <c r="H148" t="s">
        <v>19</v>
      </c>
      <c r="I148" t="s">
        <v>23</v>
      </c>
    </row>
    <row r="149" spans="1:9" x14ac:dyDescent="0.35">
      <c r="A149">
        <v>148</v>
      </c>
      <c r="B149">
        <v>62</v>
      </c>
      <c r="C149">
        <v>1</v>
      </c>
      <c r="D149" s="1">
        <v>42005</v>
      </c>
      <c r="E149">
        <v>16.5</v>
      </c>
      <c r="F149">
        <v>16.5</v>
      </c>
      <c r="G149" t="s">
        <v>9</v>
      </c>
      <c r="H149" t="s">
        <v>16</v>
      </c>
      <c r="I149" t="s">
        <v>25</v>
      </c>
    </row>
    <row r="150" spans="1:9" x14ac:dyDescent="0.35">
      <c r="A150">
        <v>149</v>
      </c>
      <c r="B150">
        <v>63</v>
      </c>
      <c r="C150">
        <v>1</v>
      </c>
      <c r="D150" s="1">
        <v>42005</v>
      </c>
      <c r="E150">
        <v>14.5</v>
      </c>
      <c r="F150">
        <v>14.5</v>
      </c>
      <c r="G150" t="s">
        <v>9</v>
      </c>
      <c r="H150" t="s">
        <v>10</v>
      </c>
      <c r="I150" t="s">
        <v>46</v>
      </c>
    </row>
    <row r="151" spans="1:9" x14ac:dyDescent="0.35">
      <c r="A151">
        <v>150</v>
      </c>
      <c r="B151">
        <v>64</v>
      </c>
      <c r="C151">
        <v>1</v>
      </c>
      <c r="D151" s="1">
        <v>42005</v>
      </c>
      <c r="E151">
        <v>12</v>
      </c>
      <c r="F151">
        <v>12</v>
      </c>
      <c r="G151" t="s">
        <v>22</v>
      </c>
      <c r="H151" t="s">
        <v>10</v>
      </c>
      <c r="I151" t="s">
        <v>35</v>
      </c>
    </row>
    <row r="152" spans="1:9" x14ac:dyDescent="0.35">
      <c r="A152">
        <v>151</v>
      </c>
      <c r="B152">
        <v>65</v>
      </c>
      <c r="C152">
        <v>1</v>
      </c>
      <c r="D152" s="1">
        <v>42005</v>
      </c>
      <c r="E152">
        <v>11</v>
      </c>
      <c r="F152">
        <v>11</v>
      </c>
      <c r="G152" t="s">
        <v>22</v>
      </c>
      <c r="H152" t="s">
        <v>10</v>
      </c>
      <c r="I152" t="s">
        <v>46</v>
      </c>
    </row>
    <row r="153" spans="1:9" x14ac:dyDescent="0.35">
      <c r="A153">
        <v>152</v>
      </c>
      <c r="B153">
        <v>65</v>
      </c>
      <c r="C153">
        <v>1</v>
      </c>
      <c r="D153" s="1">
        <v>42005</v>
      </c>
      <c r="E153">
        <v>12.25</v>
      </c>
      <c r="F153">
        <v>12.25</v>
      </c>
      <c r="G153" t="s">
        <v>22</v>
      </c>
      <c r="H153" t="s">
        <v>16</v>
      </c>
      <c r="I153" t="s">
        <v>44</v>
      </c>
    </row>
    <row r="154" spans="1:9" x14ac:dyDescent="0.35">
      <c r="A154">
        <v>153</v>
      </c>
      <c r="B154">
        <v>65</v>
      </c>
      <c r="C154">
        <v>1</v>
      </c>
      <c r="D154" s="1">
        <v>42005</v>
      </c>
      <c r="E154">
        <v>12.5</v>
      </c>
      <c r="F154">
        <v>12.5</v>
      </c>
      <c r="G154" t="s">
        <v>22</v>
      </c>
      <c r="H154" t="s">
        <v>16</v>
      </c>
      <c r="I154" t="s">
        <v>28</v>
      </c>
    </row>
    <row r="155" spans="1:9" x14ac:dyDescent="0.35">
      <c r="A155">
        <v>154</v>
      </c>
      <c r="B155">
        <v>65</v>
      </c>
      <c r="C155">
        <v>1</v>
      </c>
      <c r="D155" s="1">
        <v>42005</v>
      </c>
      <c r="E155">
        <v>16.5</v>
      </c>
      <c r="F155">
        <v>16.5</v>
      </c>
      <c r="G155" t="s">
        <v>9</v>
      </c>
      <c r="H155" t="s">
        <v>16</v>
      </c>
      <c r="I155" t="s">
        <v>25</v>
      </c>
    </row>
    <row r="156" spans="1:9" x14ac:dyDescent="0.35">
      <c r="A156">
        <v>155</v>
      </c>
      <c r="B156">
        <v>66</v>
      </c>
      <c r="C156">
        <v>1</v>
      </c>
      <c r="D156" s="1">
        <v>42005</v>
      </c>
      <c r="E156">
        <v>16</v>
      </c>
      <c r="F156">
        <v>16</v>
      </c>
      <c r="G156" t="s">
        <v>9</v>
      </c>
      <c r="H156" t="s">
        <v>10</v>
      </c>
      <c r="I156" t="s">
        <v>12</v>
      </c>
    </row>
    <row r="157" spans="1:9" x14ac:dyDescent="0.35">
      <c r="A157">
        <v>156</v>
      </c>
      <c r="B157">
        <v>66</v>
      </c>
      <c r="C157">
        <v>1</v>
      </c>
      <c r="D157" s="1">
        <v>42005</v>
      </c>
      <c r="E157">
        <v>16</v>
      </c>
      <c r="F157">
        <v>16</v>
      </c>
      <c r="G157" t="s">
        <v>9</v>
      </c>
      <c r="H157" t="s">
        <v>10</v>
      </c>
      <c r="I157" t="s">
        <v>27</v>
      </c>
    </row>
    <row r="158" spans="1:9" x14ac:dyDescent="0.35">
      <c r="A158">
        <v>157</v>
      </c>
      <c r="B158">
        <v>67</v>
      </c>
      <c r="C158">
        <v>1</v>
      </c>
      <c r="D158" s="1">
        <v>42005</v>
      </c>
      <c r="E158">
        <v>20.75</v>
      </c>
      <c r="F158">
        <v>20.75</v>
      </c>
      <c r="G158" t="s">
        <v>13</v>
      </c>
      <c r="H158" t="s">
        <v>19</v>
      </c>
      <c r="I158" t="s">
        <v>31</v>
      </c>
    </row>
    <row r="159" spans="1:9" x14ac:dyDescent="0.35">
      <c r="A159">
        <v>158</v>
      </c>
      <c r="B159">
        <v>68</v>
      </c>
      <c r="C159">
        <v>1</v>
      </c>
      <c r="D159" s="1">
        <v>42005</v>
      </c>
      <c r="E159">
        <v>16</v>
      </c>
      <c r="F159">
        <v>16</v>
      </c>
      <c r="G159" t="s">
        <v>9</v>
      </c>
      <c r="H159" t="s">
        <v>10</v>
      </c>
      <c r="I159" t="s">
        <v>12</v>
      </c>
    </row>
    <row r="160" spans="1:9" x14ac:dyDescent="0.35">
      <c r="A160">
        <v>159</v>
      </c>
      <c r="B160">
        <v>68</v>
      </c>
      <c r="C160">
        <v>1</v>
      </c>
      <c r="D160" s="1">
        <v>42005</v>
      </c>
      <c r="E160">
        <v>20.75</v>
      </c>
      <c r="F160">
        <v>20.75</v>
      </c>
      <c r="G160" t="s">
        <v>13</v>
      </c>
      <c r="H160" t="s">
        <v>16</v>
      </c>
      <c r="I160" t="s">
        <v>17</v>
      </c>
    </row>
    <row r="161" spans="1:9" x14ac:dyDescent="0.35">
      <c r="A161">
        <v>160</v>
      </c>
      <c r="B161">
        <v>68</v>
      </c>
      <c r="C161">
        <v>1</v>
      </c>
      <c r="D161" s="1">
        <v>42005</v>
      </c>
      <c r="E161">
        <v>16.5</v>
      </c>
      <c r="F161">
        <v>16.5</v>
      </c>
      <c r="G161" t="s">
        <v>9</v>
      </c>
      <c r="H161" t="s">
        <v>16</v>
      </c>
      <c r="I161" t="s">
        <v>17</v>
      </c>
    </row>
    <row r="162" spans="1:9" x14ac:dyDescent="0.35">
      <c r="A162">
        <v>161</v>
      </c>
      <c r="B162">
        <v>69</v>
      </c>
      <c r="C162">
        <v>1</v>
      </c>
      <c r="D162" s="1">
        <v>42005</v>
      </c>
      <c r="E162">
        <v>20.75</v>
      </c>
      <c r="F162">
        <v>20.75</v>
      </c>
      <c r="G162" t="s">
        <v>13</v>
      </c>
      <c r="H162" t="s">
        <v>19</v>
      </c>
      <c r="I162" t="s">
        <v>23</v>
      </c>
    </row>
    <row r="163" spans="1:9" x14ac:dyDescent="0.35">
      <c r="A163">
        <v>162</v>
      </c>
      <c r="B163">
        <v>70</v>
      </c>
      <c r="C163">
        <v>1</v>
      </c>
      <c r="D163" s="1">
        <v>42036</v>
      </c>
      <c r="E163">
        <v>12.75</v>
      </c>
      <c r="F163">
        <v>12.75</v>
      </c>
      <c r="G163" t="s">
        <v>22</v>
      </c>
      <c r="H163" t="s">
        <v>14</v>
      </c>
      <c r="I163" t="s">
        <v>40</v>
      </c>
    </row>
    <row r="164" spans="1:9" x14ac:dyDescent="0.35">
      <c r="A164">
        <v>163</v>
      </c>
      <c r="B164">
        <v>70</v>
      </c>
      <c r="C164">
        <v>1</v>
      </c>
      <c r="D164" s="1">
        <v>42036</v>
      </c>
      <c r="E164">
        <v>20.75</v>
      </c>
      <c r="F164">
        <v>20.75</v>
      </c>
      <c r="G164" t="s">
        <v>13</v>
      </c>
      <c r="H164" t="s">
        <v>16</v>
      </c>
      <c r="I164" t="s">
        <v>36</v>
      </c>
    </row>
    <row r="165" spans="1:9" x14ac:dyDescent="0.35">
      <c r="A165">
        <v>164</v>
      </c>
      <c r="B165">
        <v>71</v>
      </c>
      <c r="C165">
        <v>1</v>
      </c>
      <c r="D165" s="1">
        <v>42036</v>
      </c>
      <c r="E165">
        <v>20.75</v>
      </c>
      <c r="F165">
        <v>20.75</v>
      </c>
      <c r="G165" t="s">
        <v>13</v>
      </c>
      <c r="H165" t="s">
        <v>19</v>
      </c>
      <c r="I165" t="s">
        <v>20</v>
      </c>
    </row>
    <row r="166" spans="1:9" x14ac:dyDescent="0.35">
      <c r="A166">
        <v>165</v>
      </c>
      <c r="B166">
        <v>72</v>
      </c>
      <c r="C166">
        <v>1</v>
      </c>
      <c r="D166" s="1">
        <v>42036</v>
      </c>
      <c r="E166">
        <v>20.25</v>
      </c>
      <c r="F166">
        <v>20.25</v>
      </c>
      <c r="G166" t="s">
        <v>13</v>
      </c>
      <c r="H166" t="s">
        <v>14</v>
      </c>
      <c r="I166" t="s">
        <v>43</v>
      </c>
    </row>
    <row r="167" spans="1:9" x14ac:dyDescent="0.35">
      <c r="A167">
        <v>166</v>
      </c>
      <c r="B167">
        <v>73</v>
      </c>
      <c r="C167">
        <v>1</v>
      </c>
      <c r="D167" s="1">
        <v>42036</v>
      </c>
      <c r="E167">
        <v>12.75</v>
      </c>
      <c r="F167">
        <v>12.75</v>
      </c>
      <c r="G167" t="s">
        <v>22</v>
      </c>
      <c r="H167" t="s">
        <v>19</v>
      </c>
      <c r="I167" t="s">
        <v>20</v>
      </c>
    </row>
    <row r="168" spans="1:9" x14ac:dyDescent="0.35">
      <c r="A168">
        <v>167</v>
      </c>
      <c r="B168">
        <v>74</v>
      </c>
      <c r="C168">
        <v>1</v>
      </c>
      <c r="D168" s="1">
        <v>42036</v>
      </c>
      <c r="E168">
        <v>18.5</v>
      </c>
      <c r="F168">
        <v>18.5</v>
      </c>
      <c r="G168" t="s">
        <v>13</v>
      </c>
      <c r="H168" t="s">
        <v>14</v>
      </c>
      <c r="I168" t="s">
        <v>15</v>
      </c>
    </row>
    <row r="169" spans="1:9" x14ac:dyDescent="0.35">
      <c r="A169">
        <v>168</v>
      </c>
      <c r="B169">
        <v>74</v>
      </c>
      <c r="C169">
        <v>1</v>
      </c>
      <c r="D169" s="1">
        <v>42036</v>
      </c>
      <c r="E169">
        <v>20.25</v>
      </c>
      <c r="F169">
        <v>20.25</v>
      </c>
      <c r="G169" t="s">
        <v>13</v>
      </c>
      <c r="H169" t="s">
        <v>14</v>
      </c>
      <c r="I169" t="s">
        <v>18</v>
      </c>
    </row>
    <row r="170" spans="1:9" x14ac:dyDescent="0.35">
      <c r="A170">
        <v>169</v>
      </c>
      <c r="B170">
        <v>74</v>
      </c>
      <c r="C170">
        <v>1</v>
      </c>
      <c r="D170" s="1">
        <v>42036</v>
      </c>
      <c r="E170">
        <v>12.5</v>
      </c>
      <c r="F170">
        <v>12.5</v>
      </c>
      <c r="G170" t="s">
        <v>22</v>
      </c>
      <c r="H170" t="s">
        <v>14</v>
      </c>
      <c r="I170" t="s">
        <v>29</v>
      </c>
    </row>
    <row r="171" spans="1:9" x14ac:dyDescent="0.35">
      <c r="A171">
        <v>170</v>
      </c>
      <c r="B171">
        <v>74</v>
      </c>
      <c r="C171">
        <v>1</v>
      </c>
      <c r="D171" s="1">
        <v>42036</v>
      </c>
      <c r="E171">
        <v>20.75</v>
      </c>
      <c r="F171">
        <v>20.75</v>
      </c>
      <c r="G171" t="s">
        <v>13</v>
      </c>
      <c r="H171" t="s">
        <v>16</v>
      </c>
      <c r="I171" t="s">
        <v>25</v>
      </c>
    </row>
    <row r="172" spans="1:9" x14ac:dyDescent="0.35">
      <c r="A172">
        <v>171</v>
      </c>
      <c r="B172">
        <v>75</v>
      </c>
      <c r="C172">
        <v>1</v>
      </c>
      <c r="D172" s="1">
        <v>42036</v>
      </c>
      <c r="E172">
        <v>12.5</v>
      </c>
      <c r="F172">
        <v>12.5</v>
      </c>
      <c r="G172" t="s">
        <v>22</v>
      </c>
      <c r="H172" t="s">
        <v>16</v>
      </c>
      <c r="I172" t="s">
        <v>17</v>
      </c>
    </row>
    <row r="173" spans="1:9" x14ac:dyDescent="0.35">
      <c r="A173">
        <v>172</v>
      </c>
      <c r="B173">
        <v>75</v>
      </c>
      <c r="C173">
        <v>1</v>
      </c>
      <c r="D173" s="1">
        <v>42036</v>
      </c>
      <c r="E173">
        <v>20.25</v>
      </c>
      <c r="F173">
        <v>20.25</v>
      </c>
      <c r="G173" t="s">
        <v>13</v>
      </c>
      <c r="H173" t="s">
        <v>14</v>
      </c>
      <c r="I173" t="s">
        <v>41</v>
      </c>
    </row>
    <row r="174" spans="1:9" x14ac:dyDescent="0.35">
      <c r="A174">
        <v>173</v>
      </c>
      <c r="B174">
        <v>75</v>
      </c>
      <c r="C174">
        <v>1</v>
      </c>
      <c r="D174" s="1">
        <v>42036</v>
      </c>
      <c r="E174">
        <v>20.5</v>
      </c>
      <c r="F174">
        <v>20.5</v>
      </c>
      <c r="G174" t="s">
        <v>13</v>
      </c>
      <c r="H174" t="s">
        <v>10</v>
      </c>
      <c r="I174" t="s">
        <v>38</v>
      </c>
    </row>
    <row r="175" spans="1:9" x14ac:dyDescent="0.35">
      <c r="A175">
        <v>174</v>
      </c>
      <c r="B175">
        <v>76</v>
      </c>
      <c r="C175">
        <v>1</v>
      </c>
      <c r="D175" s="1">
        <v>42036</v>
      </c>
      <c r="E175">
        <v>12</v>
      </c>
      <c r="F175">
        <v>12</v>
      </c>
      <c r="G175" t="s">
        <v>22</v>
      </c>
      <c r="H175" t="s">
        <v>10</v>
      </c>
      <c r="I175" t="s">
        <v>35</v>
      </c>
    </row>
    <row r="176" spans="1:9" x14ac:dyDescent="0.35">
      <c r="A176">
        <v>175</v>
      </c>
      <c r="B176">
        <v>76</v>
      </c>
      <c r="C176">
        <v>1</v>
      </c>
      <c r="D176" s="1">
        <v>42036</v>
      </c>
      <c r="E176">
        <v>16.5</v>
      </c>
      <c r="F176">
        <v>16.5</v>
      </c>
      <c r="G176" t="s">
        <v>13</v>
      </c>
      <c r="H176" t="s">
        <v>10</v>
      </c>
      <c r="I176" t="s">
        <v>11</v>
      </c>
    </row>
    <row r="177" spans="1:9" x14ac:dyDescent="0.35">
      <c r="A177">
        <v>176</v>
      </c>
      <c r="B177">
        <v>76</v>
      </c>
      <c r="C177">
        <v>1</v>
      </c>
      <c r="D177" s="1">
        <v>42036</v>
      </c>
      <c r="E177">
        <v>21</v>
      </c>
      <c r="F177">
        <v>21</v>
      </c>
      <c r="G177" t="s">
        <v>13</v>
      </c>
      <c r="H177" t="s">
        <v>14</v>
      </c>
      <c r="I177" t="s">
        <v>40</v>
      </c>
    </row>
    <row r="178" spans="1:9" x14ac:dyDescent="0.35">
      <c r="A178">
        <v>177</v>
      </c>
      <c r="B178">
        <v>76</v>
      </c>
      <c r="C178">
        <v>1</v>
      </c>
      <c r="D178" s="1">
        <v>42036</v>
      </c>
      <c r="E178">
        <v>20.75</v>
      </c>
      <c r="F178">
        <v>20.75</v>
      </c>
      <c r="G178" t="s">
        <v>13</v>
      </c>
      <c r="H178" t="s">
        <v>16</v>
      </c>
      <c r="I178" t="s">
        <v>28</v>
      </c>
    </row>
    <row r="179" spans="1:9" x14ac:dyDescent="0.35">
      <c r="A179">
        <v>178</v>
      </c>
      <c r="B179">
        <v>77</v>
      </c>
      <c r="C179">
        <v>1</v>
      </c>
      <c r="D179" s="1">
        <v>42036</v>
      </c>
      <c r="E179">
        <v>16.75</v>
      </c>
      <c r="F179">
        <v>16.75</v>
      </c>
      <c r="G179" t="s">
        <v>9</v>
      </c>
      <c r="H179" t="s">
        <v>19</v>
      </c>
      <c r="I179" t="s">
        <v>23</v>
      </c>
    </row>
    <row r="180" spans="1:9" x14ac:dyDescent="0.35">
      <c r="A180">
        <v>179</v>
      </c>
      <c r="B180">
        <v>77</v>
      </c>
      <c r="C180">
        <v>1</v>
      </c>
      <c r="D180" s="1">
        <v>42036</v>
      </c>
      <c r="E180">
        <v>13.25</v>
      </c>
      <c r="F180">
        <v>13.25</v>
      </c>
      <c r="G180" t="s">
        <v>9</v>
      </c>
      <c r="H180" t="s">
        <v>10</v>
      </c>
      <c r="I180" t="s">
        <v>11</v>
      </c>
    </row>
    <row r="181" spans="1:9" x14ac:dyDescent="0.35">
      <c r="A181">
        <v>180</v>
      </c>
      <c r="B181">
        <v>78</v>
      </c>
      <c r="C181">
        <v>1</v>
      </c>
      <c r="D181" s="1">
        <v>42036</v>
      </c>
      <c r="E181">
        <v>12</v>
      </c>
      <c r="F181">
        <v>12</v>
      </c>
      <c r="G181" t="s">
        <v>22</v>
      </c>
      <c r="H181" t="s">
        <v>10</v>
      </c>
      <c r="I181" t="s">
        <v>35</v>
      </c>
    </row>
    <row r="182" spans="1:9" x14ac:dyDescent="0.35">
      <c r="A182">
        <v>181</v>
      </c>
      <c r="B182">
        <v>78</v>
      </c>
      <c r="C182">
        <v>1</v>
      </c>
      <c r="D182" s="1">
        <v>42036</v>
      </c>
      <c r="E182">
        <v>12</v>
      </c>
      <c r="F182">
        <v>12</v>
      </c>
      <c r="G182" t="s">
        <v>22</v>
      </c>
      <c r="H182" t="s">
        <v>10</v>
      </c>
      <c r="I182" t="s">
        <v>12</v>
      </c>
    </row>
    <row r="183" spans="1:9" x14ac:dyDescent="0.35">
      <c r="A183">
        <v>182</v>
      </c>
      <c r="B183">
        <v>78</v>
      </c>
      <c r="C183">
        <v>1</v>
      </c>
      <c r="D183" s="1">
        <v>42036</v>
      </c>
      <c r="E183">
        <v>17.95</v>
      </c>
      <c r="F183">
        <v>17.95</v>
      </c>
      <c r="G183" t="s">
        <v>13</v>
      </c>
      <c r="H183" t="s">
        <v>14</v>
      </c>
      <c r="I183" t="s">
        <v>37</v>
      </c>
    </row>
    <row r="184" spans="1:9" x14ac:dyDescent="0.35">
      <c r="A184">
        <v>183</v>
      </c>
      <c r="B184">
        <v>78</v>
      </c>
      <c r="C184">
        <v>1</v>
      </c>
      <c r="D184" s="1">
        <v>42036</v>
      </c>
      <c r="E184">
        <v>16</v>
      </c>
      <c r="F184">
        <v>16</v>
      </c>
      <c r="G184" t="s">
        <v>9</v>
      </c>
      <c r="H184" t="s">
        <v>10</v>
      </c>
      <c r="I184" t="s">
        <v>27</v>
      </c>
    </row>
    <row r="185" spans="1:9" x14ac:dyDescent="0.35">
      <c r="A185">
        <v>184</v>
      </c>
      <c r="B185">
        <v>78</v>
      </c>
      <c r="C185">
        <v>3</v>
      </c>
      <c r="D185" s="1">
        <v>42036</v>
      </c>
      <c r="E185">
        <v>20.75</v>
      </c>
      <c r="F185">
        <v>62.25</v>
      </c>
      <c r="G185" t="s">
        <v>13</v>
      </c>
      <c r="H185" t="s">
        <v>16</v>
      </c>
      <c r="I185" t="s">
        <v>28</v>
      </c>
    </row>
    <row r="186" spans="1:9" x14ac:dyDescent="0.35">
      <c r="A186">
        <v>185</v>
      </c>
      <c r="B186">
        <v>78</v>
      </c>
      <c r="C186">
        <v>1</v>
      </c>
      <c r="D186" s="1">
        <v>42036</v>
      </c>
      <c r="E186">
        <v>12.75</v>
      </c>
      <c r="F186">
        <v>12.75</v>
      </c>
      <c r="G186" t="s">
        <v>22</v>
      </c>
      <c r="H186" t="s">
        <v>19</v>
      </c>
      <c r="I186" t="s">
        <v>20</v>
      </c>
    </row>
    <row r="187" spans="1:9" x14ac:dyDescent="0.35">
      <c r="A187">
        <v>186</v>
      </c>
      <c r="B187">
        <v>79</v>
      </c>
      <c r="C187">
        <v>1</v>
      </c>
      <c r="D187" s="1">
        <v>42036</v>
      </c>
      <c r="E187">
        <v>20.5</v>
      </c>
      <c r="F187">
        <v>20.5</v>
      </c>
      <c r="G187" t="s">
        <v>13</v>
      </c>
      <c r="H187" t="s">
        <v>10</v>
      </c>
      <c r="I187" t="s">
        <v>27</v>
      </c>
    </row>
    <row r="188" spans="1:9" x14ac:dyDescent="0.35">
      <c r="A188">
        <v>187</v>
      </c>
      <c r="B188">
        <v>79</v>
      </c>
      <c r="C188">
        <v>1</v>
      </c>
      <c r="D188" s="1">
        <v>42036</v>
      </c>
      <c r="E188">
        <v>11</v>
      </c>
      <c r="F188">
        <v>11</v>
      </c>
      <c r="G188" t="s">
        <v>22</v>
      </c>
      <c r="H188" t="s">
        <v>10</v>
      </c>
      <c r="I188" t="s">
        <v>46</v>
      </c>
    </row>
    <row r="189" spans="1:9" x14ac:dyDescent="0.35">
      <c r="A189">
        <v>188</v>
      </c>
      <c r="B189">
        <v>79</v>
      </c>
      <c r="C189">
        <v>1</v>
      </c>
      <c r="D189" s="1">
        <v>42036</v>
      </c>
      <c r="E189">
        <v>20.75</v>
      </c>
      <c r="F189">
        <v>20.75</v>
      </c>
      <c r="G189" t="s">
        <v>13</v>
      </c>
      <c r="H189" t="s">
        <v>19</v>
      </c>
      <c r="I189" t="s">
        <v>20</v>
      </c>
    </row>
    <row r="190" spans="1:9" x14ac:dyDescent="0.35">
      <c r="A190">
        <v>189</v>
      </c>
      <c r="B190">
        <v>80</v>
      </c>
      <c r="C190">
        <v>1</v>
      </c>
      <c r="D190" s="1">
        <v>42036</v>
      </c>
      <c r="E190">
        <v>9.75</v>
      </c>
      <c r="F190">
        <v>9.75</v>
      </c>
      <c r="G190" t="s">
        <v>22</v>
      </c>
      <c r="H190" t="s">
        <v>10</v>
      </c>
      <c r="I190" t="s">
        <v>33</v>
      </c>
    </row>
    <row r="191" spans="1:9" x14ac:dyDescent="0.35">
      <c r="A191">
        <v>190</v>
      </c>
      <c r="B191">
        <v>80</v>
      </c>
      <c r="C191">
        <v>1</v>
      </c>
      <c r="D191" s="1">
        <v>42036</v>
      </c>
      <c r="E191">
        <v>16.75</v>
      </c>
      <c r="F191">
        <v>16.75</v>
      </c>
      <c r="G191" t="s">
        <v>9</v>
      </c>
      <c r="H191" t="s">
        <v>19</v>
      </c>
      <c r="I191" t="s">
        <v>20</v>
      </c>
    </row>
    <row r="192" spans="1:9" x14ac:dyDescent="0.35">
      <c r="A192">
        <v>191</v>
      </c>
      <c r="B192">
        <v>81</v>
      </c>
      <c r="C192">
        <v>1</v>
      </c>
      <c r="D192" s="1">
        <v>42036</v>
      </c>
      <c r="E192">
        <v>20.75</v>
      </c>
      <c r="F192">
        <v>20.75</v>
      </c>
      <c r="G192" t="s">
        <v>13</v>
      </c>
      <c r="H192" t="s">
        <v>19</v>
      </c>
      <c r="I192" t="s">
        <v>20</v>
      </c>
    </row>
    <row r="193" spans="1:9" x14ac:dyDescent="0.35">
      <c r="A193">
        <v>192</v>
      </c>
      <c r="B193">
        <v>82</v>
      </c>
      <c r="C193">
        <v>1</v>
      </c>
      <c r="D193" s="1">
        <v>42036</v>
      </c>
      <c r="E193">
        <v>12</v>
      </c>
      <c r="F193">
        <v>12</v>
      </c>
      <c r="G193" t="s">
        <v>22</v>
      </c>
      <c r="H193" t="s">
        <v>10</v>
      </c>
      <c r="I193" t="s">
        <v>35</v>
      </c>
    </row>
    <row r="194" spans="1:9" x14ac:dyDescent="0.35">
      <c r="A194">
        <v>193</v>
      </c>
      <c r="B194">
        <v>82</v>
      </c>
      <c r="C194">
        <v>1</v>
      </c>
      <c r="D194" s="1">
        <v>42036</v>
      </c>
      <c r="E194">
        <v>16.75</v>
      </c>
      <c r="F194">
        <v>16.75</v>
      </c>
      <c r="G194" t="s">
        <v>9</v>
      </c>
      <c r="H194" t="s">
        <v>19</v>
      </c>
      <c r="I194" t="s">
        <v>32</v>
      </c>
    </row>
    <row r="195" spans="1:9" x14ac:dyDescent="0.35">
      <c r="A195">
        <v>194</v>
      </c>
      <c r="B195">
        <v>82</v>
      </c>
      <c r="C195">
        <v>1</v>
      </c>
      <c r="D195" s="1">
        <v>42036</v>
      </c>
      <c r="E195">
        <v>20.75</v>
      </c>
      <c r="F195">
        <v>20.75</v>
      </c>
      <c r="G195" t="s">
        <v>13</v>
      </c>
      <c r="H195" t="s">
        <v>16</v>
      </c>
      <c r="I195" t="s">
        <v>28</v>
      </c>
    </row>
    <row r="196" spans="1:9" x14ac:dyDescent="0.35">
      <c r="A196">
        <v>195</v>
      </c>
      <c r="B196">
        <v>82</v>
      </c>
      <c r="C196">
        <v>1</v>
      </c>
      <c r="D196" s="1">
        <v>42036</v>
      </c>
      <c r="E196">
        <v>16</v>
      </c>
      <c r="F196">
        <v>16</v>
      </c>
      <c r="G196" t="s">
        <v>9</v>
      </c>
      <c r="H196" t="s">
        <v>14</v>
      </c>
      <c r="I196" t="s">
        <v>30</v>
      </c>
    </row>
    <row r="197" spans="1:9" x14ac:dyDescent="0.35">
      <c r="A197">
        <v>196</v>
      </c>
      <c r="B197">
        <v>83</v>
      </c>
      <c r="C197">
        <v>1</v>
      </c>
      <c r="D197" s="1">
        <v>42036</v>
      </c>
      <c r="E197">
        <v>12.75</v>
      </c>
      <c r="F197">
        <v>12.75</v>
      </c>
      <c r="G197" t="s">
        <v>22</v>
      </c>
      <c r="H197" t="s">
        <v>19</v>
      </c>
      <c r="I197" t="s">
        <v>31</v>
      </c>
    </row>
    <row r="198" spans="1:9" x14ac:dyDescent="0.35">
      <c r="A198">
        <v>197</v>
      </c>
      <c r="B198">
        <v>84</v>
      </c>
      <c r="C198">
        <v>1</v>
      </c>
      <c r="D198" s="1">
        <v>42036</v>
      </c>
      <c r="E198">
        <v>15.25</v>
      </c>
      <c r="F198">
        <v>15.25</v>
      </c>
      <c r="G198" t="s">
        <v>13</v>
      </c>
      <c r="H198" t="s">
        <v>10</v>
      </c>
      <c r="I198" t="s">
        <v>33</v>
      </c>
    </row>
    <row r="199" spans="1:9" x14ac:dyDescent="0.35">
      <c r="A199">
        <v>198</v>
      </c>
      <c r="B199">
        <v>85</v>
      </c>
      <c r="C199">
        <v>1</v>
      </c>
      <c r="D199" s="1">
        <v>42036</v>
      </c>
      <c r="E199">
        <v>16</v>
      </c>
      <c r="F199">
        <v>16</v>
      </c>
      <c r="G199" t="s">
        <v>9</v>
      </c>
      <c r="H199" t="s">
        <v>10</v>
      </c>
      <c r="I199" t="s">
        <v>12</v>
      </c>
    </row>
    <row r="200" spans="1:9" x14ac:dyDescent="0.35">
      <c r="A200">
        <v>199</v>
      </c>
      <c r="B200">
        <v>85</v>
      </c>
      <c r="C200">
        <v>1</v>
      </c>
      <c r="D200" s="1">
        <v>42036</v>
      </c>
      <c r="E200">
        <v>12</v>
      </c>
      <c r="F200">
        <v>12</v>
      </c>
      <c r="G200" t="s">
        <v>22</v>
      </c>
      <c r="H200" t="s">
        <v>10</v>
      </c>
      <c r="I200" t="s">
        <v>12</v>
      </c>
    </row>
    <row r="201" spans="1:9" x14ac:dyDescent="0.35">
      <c r="A201">
        <v>200</v>
      </c>
      <c r="B201">
        <v>85</v>
      </c>
      <c r="C201">
        <v>1</v>
      </c>
      <c r="D201" s="1">
        <v>42036</v>
      </c>
      <c r="E201">
        <v>20.75</v>
      </c>
      <c r="F201">
        <v>20.75</v>
      </c>
      <c r="G201" t="s">
        <v>13</v>
      </c>
      <c r="H201" t="s">
        <v>16</v>
      </c>
      <c r="I201" t="s">
        <v>17</v>
      </c>
    </row>
    <row r="202" spans="1:9" x14ac:dyDescent="0.35">
      <c r="A202">
        <v>201</v>
      </c>
      <c r="B202">
        <v>85</v>
      </c>
      <c r="C202">
        <v>1</v>
      </c>
      <c r="D202" s="1">
        <v>42036</v>
      </c>
      <c r="E202">
        <v>16</v>
      </c>
      <c r="F202">
        <v>16</v>
      </c>
      <c r="G202" t="s">
        <v>9</v>
      </c>
      <c r="H202" t="s">
        <v>10</v>
      </c>
      <c r="I202" t="s">
        <v>24</v>
      </c>
    </row>
    <row r="203" spans="1:9" x14ac:dyDescent="0.35">
      <c r="A203">
        <v>202</v>
      </c>
      <c r="B203">
        <v>86</v>
      </c>
      <c r="C203">
        <v>1</v>
      </c>
      <c r="D203" s="1">
        <v>42036</v>
      </c>
      <c r="E203">
        <v>16.5</v>
      </c>
      <c r="F203">
        <v>16.5</v>
      </c>
      <c r="G203" t="s">
        <v>13</v>
      </c>
      <c r="H203" t="s">
        <v>10</v>
      </c>
      <c r="I203" t="s">
        <v>11</v>
      </c>
    </row>
    <row r="204" spans="1:9" x14ac:dyDescent="0.35">
      <c r="A204">
        <v>203</v>
      </c>
      <c r="B204">
        <v>87</v>
      </c>
      <c r="C204">
        <v>1</v>
      </c>
      <c r="D204" s="1">
        <v>42036</v>
      </c>
      <c r="E204">
        <v>16</v>
      </c>
      <c r="F204">
        <v>16</v>
      </c>
      <c r="G204" t="s">
        <v>9</v>
      </c>
      <c r="H204" t="s">
        <v>10</v>
      </c>
      <c r="I204" t="s">
        <v>27</v>
      </c>
    </row>
    <row r="205" spans="1:9" x14ac:dyDescent="0.35">
      <c r="A205">
        <v>204</v>
      </c>
      <c r="B205">
        <v>87</v>
      </c>
      <c r="C205">
        <v>1</v>
      </c>
      <c r="D205" s="1">
        <v>42036</v>
      </c>
      <c r="E205">
        <v>16</v>
      </c>
      <c r="F205">
        <v>16</v>
      </c>
      <c r="G205" t="s">
        <v>9</v>
      </c>
      <c r="H205" t="s">
        <v>14</v>
      </c>
      <c r="I205" t="s">
        <v>18</v>
      </c>
    </row>
    <row r="206" spans="1:9" x14ac:dyDescent="0.35">
      <c r="A206">
        <v>205</v>
      </c>
      <c r="B206">
        <v>87</v>
      </c>
      <c r="C206">
        <v>1</v>
      </c>
      <c r="D206" s="1">
        <v>42036</v>
      </c>
      <c r="E206">
        <v>20.75</v>
      </c>
      <c r="F206">
        <v>20.75</v>
      </c>
      <c r="G206" t="s">
        <v>13</v>
      </c>
      <c r="H206" t="s">
        <v>16</v>
      </c>
      <c r="I206" t="s">
        <v>25</v>
      </c>
    </row>
    <row r="207" spans="1:9" x14ac:dyDescent="0.35">
      <c r="A207">
        <v>206</v>
      </c>
      <c r="B207">
        <v>87</v>
      </c>
      <c r="C207">
        <v>1</v>
      </c>
      <c r="D207" s="1">
        <v>42036</v>
      </c>
      <c r="E207">
        <v>12.5</v>
      </c>
      <c r="F207">
        <v>12.5</v>
      </c>
      <c r="G207" t="s">
        <v>22</v>
      </c>
      <c r="H207" t="s">
        <v>16</v>
      </c>
      <c r="I207" t="s">
        <v>25</v>
      </c>
    </row>
    <row r="208" spans="1:9" x14ac:dyDescent="0.35">
      <c r="A208">
        <v>207</v>
      </c>
      <c r="B208">
        <v>88</v>
      </c>
      <c r="C208">
        <v>1</v>
      </c>
      <c r="D208" s="1">
        <v>42036</v>
      </c>
      <c r="E208">
        <v>18.5</v>
      </c>
      <c r="F208">
        <v>18.5</v>
      </c>
      <c r="G208" t="s">
        <v>13</v>
      </c>
      <c r="H208" t="s">
        <v>14</v>
      </c>
      <c r="I208" t="s">
        <v>15</v>
      </c>
    </row>
    <row r="209" spans="1:9" x14ac:dyDescent="0.35">
      <c r="A209">
        <v>208</v>
      </c>
      <c r="B209">
        <v>89</v>
      </c>
      <c r="C209">
        <v>1</v>
      </c>
      <c r="D209" s="1">
        <v>42036</v>
      </c>
      <c r="E209">
        <v>20.75</v>
      </c>
      <c r="F209">
        <v>20.75</v>
      </c>
      <c r="G209" t="s">
        <v>13</v>
      </c>
      <c r="H209" t="s">
        <v>16</v>
      </c>
      <c r="I209" t="s">
        <v>36</v>
      </c>
    </row>
    <row r="210" spans="1:9" x14ac:dyDescent="0.35">
      <c r="A210">
        <v>209</v>
      </c>
      <c r="B210">
        <v>89</v>
      </c>
      <c r="C210">
        <v>1</v>
      </c>
      <c r="D210" s="1">
        <v>42036</v>
      </c>
      <c r="E210">
        <v>20.75</v>
      </c>
      <c r="F210">
        <v>20.75</v>
      </c>
      <c r="G210" t="s">
        <v>13</v>
      </c>
      <c r="H210" t="s">
        <v>19</v>
      </c>
      <c r="I210" t="s">
        <v>20</v>
      </c>
    </row>
    <row r="211" spans="1:9" x14ac:dyDescent="0.35">
      <c r="A211">
        <v>210</v>
      </c>
      <c r="B211">
        <v>90</v>
      </c>
      <c r="C211">
        <v>1</v>
      </c>
      <c r="D211" s="1">
        <v>42036</v>
      </c>
      <c r="E211">
        <v>20.25</v>
      </c>
      <c r="F211">
        <v>20.25</v>
      </c>
      <c r="G211" t="s">
        <v>13</v>
      </c>
      <c r="H211" t="s">
        <v>16</v>
      </c>
      <c r="I211" t="s">
        <v>44</v>
      </c>
    </row>
    <row r="212" spans="1:9" x14ac:dyDescent="0.35">
      <c r="A212">
        <v>211</v>
      </c>
      <c r="B212">
        <v>90</v>
      </c>
      <c r="C212">
        <v>1</v>
      </c>
      <c r="D212" s="1">
        <v>42036</v>
      </c>
      <c r="E212">
        <v>12.75</v>
      </c>
      <c r="F212">
        <v>12.75</v>
      </c>
      <c r="G212" t="s">
        <v>22</v>
      </c>
      <c r="H212" t="s">
        <v>19</v>
      </c>
      <c r="I212" t="s">
        <v>20</v>
      </c>
    </row>
    <row r="213" spans="1:9" x14ac:dyDescent="0.35">
      <c r="A213">
        <v>212</v>
      </c>
      <c r="B213">
        <v>91</v>
      </c>
      <c r="C213">
        <v>2</v>
      </c>
      <c r="D213" s="1">
        <v>42036</v>
      </c>
      <c r="E213">
        <v>20.75</v>
      </c>
      <c r="F213">
        <v>41.5</v>
      </c>
      <c r="G213" t="s">
        <v>13</v>
      </c>
      <c r="H213" t="s">
        <v>19</v>
      </c>
      <c r="I213" t="s">
        <v>23</v>
      </c>
    </row>
    <row r="214" spans="1:9" x14ac:dyDescent="0.35">
      <c r="A214">
        <v>213</v>
      </c>
      <c r="B214">
        <v>91</v>
      </c>
      <c r="C214">
        <v>1</v>
      </c>
      <c r="D214" s="1">
        <v>42036</v>
      </c>
      <c r="E214">
        <v>12.75</v>
      </c>
      <c r="F214">
        <v>12.75</v>
      </c>
      <c r="G214" t="s">
        <v>22</v>
      </c>
      <c r="H214" t="s">
        <v>19</v>
      </c>
      <c r="I214" t="s">
        <v>34</v>
      </c>
    </row>
    <row r="215" spans="1:9" x14ac:dyDescent="0.35">
      <c r="A215">
        <v>214</v>
      </c>
      <c r="B215">
        <v>91</v>
      </c>
      <c r="C215">
        <v>1</v>
      </c>
      <c r="D215" s="1">
        <v>42036</v>
      </c>
      <c r="E215">
        <v>9.75</v>
      </c>
      <c r="F215">
        <v>9.75</v>
      </c>
      <c r="G215" t="s">
        <v>22</v>
      </c>
      <c r="H215" t="s">
        <v>10</v>
      </c>
      <c r="I215" t="s">
        <v>33</v>
      </c>
    </row>
    <row r="216" spans="1:9" x14ac:dyDescent="0.35">
      <c r="A216">
        <v>215</v>
      </c>
      <c r="B216">
        <v>92</v>
      </c>
      <c r="C216">
        <v>1</v>
      </c>
      <c r="D216" s="1">
        <v>42036</v>
      </c>
      <c r="E216">
        <v>16.75</v>
      </c>
      <c r="F216">
        <v>16.75</v>
      </c>
      <c r="G216" t="s">
        <v>9</v>
      </c>
      <c r="H216" t="s">
        <v>19</v>
      </c>
      <c r="I216" t="s">
        <v>23</v>
      </c>
    </row>
    <row r="217" spans="1:9" x14ac:dyDescent="0.35">
      <c r="A217">
        <v>216</v>
      </c>
      <c r="B217">
        <v>92</v>
      </c>
      <c r="C217">
        <v>1</v>
      </c>
      <c r="D217" s="1">
        <v>42036</v>
      </c>
      <c r="E217">
        <v>20.75</v>
      </c>
      <c r="F217">
        <v>20.75</v>
      </c>
      <c r="G217" t="s">
        <v>13</v>
      </c>
      <c r="H217" t="s">
        <v>16</v>
      </c>
      <c r="I217" t="s">
        <v>17</v>
      </c>
    </row>
    <row r="218" spans="1:9" x14ac:dyDescent="0.35">
      <c r="A218">
        <v>217</v>
      </c>
      <c r="B218">
        <v>92</v>
      </c>
      <c r="C218">
        <v>1</v>
      </c>
      <c r="D218" s="1">
        <v>42036</v>
      </c>
      <c r="E218">
        <v>16.5</v>
      </c>
      <c r="F218">
        <v>16.5</v>
      </c>
      <c r="G218" t="s">
        <v>9</v>
      </c>
      <c r="H218" t="s">
        <v>16</v>
      </c>
      <c r="I218" t="s">
        <v>17</v>
      </c>
    </row>
    <row r="219" spans="1:9" x14ac:dyDescent="0.35">
      <c r="A219">
        <v>218</v>
      </c>
      <c r="B219">
        <v>92</v>
      </c>
      <c r="C219">
        <v>1</v>
      </c>
      <c r="D219" s="1">
        <v>42036</v>
      </c>
      <c r="E219">
        <v>12.75</v>
      </c>
      <c r="F219">
        <v>12.75</v>
      </c>
      <c r="G219" t="s">
        <v>22</v>
      </c>
      <c r="H219" t="s">
        <v>14</v>
      </c>
      <c r="I219" t="s">
        <v>40</v>
      </c>
    </row>
    <row r="220" spans="1:9" x14ac:dyDescent="0.35">
      <c r="A220">
        <v>219</v>
      </c>
      <c r="B220">
        <v>92</v>
      </c>
      <c r="C220">
        <v>1</v>
      </c>
      <c r="D220" s="1">
        <v>42036</v>
      </c>
      <c r="E220">
        <v>12.5</v>
      </c>
      <c r="F220">
        <v>12.5</v>
      </c>
      <c r="G220" t="s">
        <v>9</v>
      </c>
      <c r="H220" t="s">
        <v>10</v>
      </c>
      <c r="I220" t="s">
        <v>33</v>
      </c>
    </row>
    <row r="221" spans="1:9" x14ac:dyDescent="0.35">
      <c r="A221">
        <v>220</v>
      </c>
      <c r="B221">
        <v>92</v>
      </c>
      <c r="C221">
        <v>1</v>
      </c>
      <c r="D221" s="1">
        <v>42036</v>
      </c>
      <c r="E221">
        <v>16.5</v>
      </c>
      <c r="F221">
        <v>16.5</v>
      </c>
      <c r="G221" t="s">
        <v>9</v>
      </c>
      <c r="H221" t="s">
        <v>16</v>
      </c>
      <c r="I221" t="s">
        <v>42</v>
      </c>
    </row>
    <row r="222" spans="1:9" x14ac:dyDescent="0.35">
      <c r="A222">
        <v>221</v>
      </c>
      <c r="B222">
        <v>92</v>
      </c>
      <c r="C222">
        <v>1</v>
      </c>
      <c r="D222" s="1">
        <v>42036</v>
      </c>
      <c r="E222">
        <v>12</v>
      </c>
      <c r="F222">
        <v>12</v>
      </c>
      <c r="G222" t="s">
        <v>22</v>
      </c>
      <c r="H222" t="s">
        <v>14</v>
      </c>
      <c r="I222" t="s">
        <v>43</v>
      </c>
    </row>
    <row r="223" spans="1:9" x14ac:dyDescent="0.35">
      <c r="A223">
        <v>222</v>
      </c>
      <c r="B223">
        <v>92</v>
      </c>
      <c r="C223">
        <v>1</v>
      </c>
      <c r="D223" s="1">
        <v>42036</v>
      </c>
      <c r="E223">
        <v>12.5</v>
      </c>
      <c r="F223">
        <v>12.5</v>
      </c>
      <c r="G223" t="s">
        <v>22</v>
      </c>
      <c r="H223" t="s">
        <v>16</v>
      </c>
      <c r="I223" t="s">
        <v>25</v>
      </c>
    </row>
    <row r="224" spans="1:9" x14ac:dyDescent="0.35">
      <c r="A224">
        <v>223</v>
      </c>
      <c r="B224">
        <v>92</v>
      </c>
      <c r="C224">
        <v>2</v>
      </c>
      <c r="D224" s="1">
        <v>42036</v>
      </c>
      <c r="E224">
        <v>16</v>
      </c>
      <c r="F224">
        <v>32</v>
      </c>
      <c r="G224" t="s">
        <v>9</v>
      </c>
      <c r="H224" t="s">
        <v>10</v>
      </c>
      <c r="I224" t="s">
        <v>24</v>
      </c>
    </row>
    <row r="225" spans="1:9" x14ac:dyDescent="0.35">
      <c r="A225">
        <v>224</v>
      </c>
      <c r="B225">
        <v>93</v>
      </c>
      <c r="C225">
        <v>1</v>
      </c>
      <c r="D225" s="1">
        <v>42036</v>
      </c>
      <c r="E225">
        <v>16.25</v>
      </c>
      <c r="F225">
        <v>16.25</v>
      </c>
      <c r="G225" t="s">
        <v>9</v>
      </c>
      <c r="H225" t="s">
        <v>16</v>
      </c>
      <c r="I225" t="s">
        <v>44</v>
      </c>
    </row>
    <row r="226" spans="1:9" x14ac:dyDescent="0.35">
      <c r="A226">
        <v>225</v>
      </c>
      <c r="B226">
        <v>94</v>
      </c>
      <c r="C226">
        <v>1</v>
      </c>
      <c r="D226" s="1">
        <v>42036</v>
      </c>
      <c r="E226">
        <v>16</v>
      </c>
      <c r="F226">
        <v>16</v>
      </c>
      <c r="G226" t="s">
        <v>9</v>
      </c>
      <c r="H226" t="s">
        <v>10</v>
      </c>
      <c r="I226" t="s">
        <v>27</v>
      </c>
    </row>
    <row r="227" spans="1:9" x14ac:dyDescent="0.35">
      <c r="A227">
        <v>226</v>
      </c>
      <c r="B227">
        <v>94</v>
      </c>
      <c r="C227">
        <v>1</v>
      </c>
      <c r="D227" s="1">
        <v>42036</v>
      </c>
      <c r="E227">
        <v>12.75</v>
      </c>
      <c r="F227">
        <v>12.75</v>
      </c>
      <c r="G227" t="s">
        <v>22</v>
      </c>
      <c r="H227" t="s">
        <v>19</v>
      </c>
      <c r="I227" t="s">
        <v>31</v>
      </c>
    </row>
    <row r="228" spans="1:9" x14ac:dyDescent="0.35">
      <c r="A228">
        <v>227</v>
      </c>
      <c r="B228">
        <v>95</v>
      </c>
      <c r="C228">
        <v>1</v>
      </c>
      <c r="D228" s="1">
        <v>42036</v>
      </c>
      <c r="E228">
        <v>12</v>
      </c>
      <c r="F228">
        <v>12</v>
      </c>
      <c r="G228" t="s">
        <v>22</v>
      </c>
      <c r="H228" t="s">
        <v>10</v>
      </c>
      <c r="I228" t="s">
        <v>38</v>
      </c>
    </row>
    <row r="229" spans="1:9" x14ac:dyDescent="0.35">
      <c r="A229">
        <v>228</v>
      </c>
      <c r="B229">
        <v>95</v>
      </c>
      <c r="C229">
        <v>1</v>
      </c>
      <c r="D229" s="1">
        <v>42036</v>
      </c>
      <c r="E229">
        <v>20.75</v>
      </c>
      <c r="F229">
        <v>20.75</v>
      </c>
      <c r="G229" t="s">
        <v>13</v>
      </c>
      <c r="H229" t="s">
        <v>16</v>
      </c>
      <c r="I229" t="s">
        <v>42</v>
      </c>
    </row>
    <row r="230" spans="1:9" x14ac:dyDescent="0.35">
      <c r="A230">
        <v>229</v>
      </c>
      <c r="B230">
        <v>96</v>
      </c>
      <c r="C230">
        <v>1</v>
      </c>
      <c r="D230" s="1">
        <v>42036</v>
      </c>
      <c r="E230">
        <v>12</v>
      </c>
      <c r="F230">
        <v>12</v>
      </c>
      <c r="G230" t="s">
        <v>22</v>
      </c>
      <c r="H230" t="s">
        <v>10</v>
      </c>
      <c r="I230" t="s">
        <v>38</v>
      </c>
    </row>
    <row r="231" spans="1:9" x14ac:dyDescent="0.35">
      <c r="A231">
        <v>230</v>
      </c>
      <c r="B231">
        <v>97</v>
      </c>
      <c r="C231">
        <v>1</v>
      </c>
      <c r="D231" s="1">
        <v>42036</v>
      </c>
      <c r="E231">
        <v>12</v>
      </c>
      <c r="F231">
        <v>12</v>
      </c>
      <c r="G231" t="s">
        <v>22</v>
      </c>
      <c r="H231" t="s">
        <v>10</v>
      </c>
      <c r="I231" t="s">
        <v>35</v>
      </c>
    </row>
    <row r="232" spans="1:9" x14ac:dyDescent="0.35">
      <c r="A232">
        <v>231</v>
      </c>
      <c r="B232">
        <v>98</v>
      </c>
      <c r="C232">
        <v>1</v>
      </c>
      <c r="D232" s="1">
        <v>42036</v>
      </c>
      <c r="E232">
        <v>20.5</v>
      </c>
      <c r="F232">
        <v>20.5</v>
      </c>
      <c r="G232" t="s">
        <v>13</v>
      </c>
      <c r="H232" t="s">
        <v>10</v>
      </c>
      <c r="I232" t="s">
        <v>12</v>
      </c>
    </row>
    <row r="233" spans="1:9" x14ac:dyDescent="0.35">
      <c r="A233">
        <v>232</v>
      </c>
      <c r="B233">
        <v>98</v>
      </c>
      <c r="C233">
        <v>1</v>
      </c>
      <c r="D233" s="1">
        <v>42036</v>
      </c>
      <c r="E233">
        <v>20.5</v>
      </c>
      <c r="F233">
        <v>20.5</v>
      </c>
      <c r="G233" t="s">
        <v>13</v>
      </c>
      <c r="H233" t="s">
        <v>10</v>
      </c>
      <c r="I233" t="s">
        <v>38</v>
      </c>
    </row>
    <row r="234" spans="1:9" x14ac:dyDescent="0.35">
      <c r="A234">
        <v>233</v>
      </c>
      <c r="B234">
        <v>99</v>
      </c>
      <c r="C234">
        <v>1</v>
      </c>
      <c r="D234" s="1">
        <v>42036</v>
      </c>
      <c r="E234">
        <v>20.75</v>
      </c>
      <c r="F234">
        <v>20.75</v>
      </c>
      <c r="G234" t="s">
        <v>13</v>
      </c>
      <c r="H234" t="s">
        <v>16</v>
      </c>
      <c r="I234" t="s">
        <v>17</v>
      </c>
    </row>
    <row r="235" spans="1:9" x14ac:dyDescent="0.35">
      <c r="A235">
        <v>234</v>
      </c>
      <c r="B235">
        <v>100</v>
      </c>
      <c r="C235">
        <v>1</v>
      </c>
      <c r="D235" s="1">
        <v>42036</v>
      </c>
      <c r="E235">
        <v>16.5</v>
      </c>
      <c r="F235">
        <v>16.5</v>
      </c>
      <c r="G235" t="s">
        <v>13</v>
      </c>
      <c r="H235" t="s">
        <v>10</v>
      </c>
      <c r="I235" t="s">
        <v>11</v>
      </c>
    </row>
    <row r="236" spans="1:9" x14ac:dyDescent="0.35">
      <c r="A236">
        <v>235</v>
      </c>
      <c r="B236">
        <v>101</v>
      </c>
      <c r="C236">
        <v>1</v>
      </c>
      <c r="D236" s="1">
        <v>42036</v>
      </c>
      <c r="E236">
        <v>20.75</v>
      </c>
      <c r="F236">
        <v>20.75</v>
      </c>
      <c r="G236" t="s">
        <v>13</v>
      </c>
      <c r="H236" t="s">
        <v>19</v>
      </c>
      <c r="I236" t="s">
        <v>32</v>
      </c>
    </row>
    <row r="237" spans="1:9" x14ac:dyDescent="0.35">
      <c r="A237">
        <v>236</v>
      </c>
      <c r="B237">
        <v>101</v>
      </c>
      <c r="C237">
        <v>1</v>
      </c>
      <c r="D237" s="1">
        <v>42036</v>
      </c>
      <c r="E237">
        <v>15.25</v>
      </c>
      <c r="F237">
        <v>15.25</v>
      </c>
      <c r="G237" t="s">
        <v>13</v>
      </c>
      <c r="H237" t="s">
        <v>10</v>
      </c>
      <c r="I237" t="s">
        <v>33</v>
      </c>
    </row>
    <row r="238" spans="1:9" x14ac:dyDescent="0.35">
      <c r="A238">
        <v>237</v>
      </c>
      <c r="B238">
        <v>101</v>
      </c>
      <c r="C238">
        <v>1</v>
      </c>
      <c r="D238" s="1">
        <v>42036</v>
      </c>
      <c r="E238">
        <v>20.75</v>
      </c>
      <c r="F238">
        <v>20.75</v>
      </c>
      <c r="G238" t="s">
        <v>13</v>
      </c>
      <c r="H238" t="s">
        <v>16</v>
      </c>
      <c r="I238" t="s">
        <v>36</v>
      </c>
    </row>
    <row r="239" spans="1:9" x14ac:dyDescent="0.35">
      <c r="A239">
        <v>238</v>
      </c>
      <c r="B239">
        <v>101</v>
      </c>
      <c r="C239">
        <v>1</v>
      </c>
      <c r="D239" s="1">
        <v>42036</v>
      </c>
      <c r="E239">
        <v>16.5</v>
      </c>
      <c r="F239">
        <v>16.5</v>
      </c>
      <c r="G239" t="s">
        <v>9</v>
      </c>
      <c r="H239" t="s">
        <v>16</v>
      </c>
      <c r="I239" t="s">
        <v>28</v>
      </c>
    </row>
    <row r="240" spans="1:9" x14ac:dyDescent="0.35">
      <c r="A240">
        <v>239</v>
      </c>
      <c r="B240">
        <v>102</v>
      </c>
      <c r="C240">
        <v>1</v>
      </c>
      <c r="D240" s="1">
        <v>42036</v>
      </c>
      <c r="E240">
        <v>12.75</v>
      </c>
      <c r="F240">
        <v>12.75</v>
      </c>
      <c r="G240" t="s">
        <v>22</v>
      </c>
      <c r="H240" t="s">
        <v>19</v>
      </c>
      <c r="I240" t="s">
        <v>23</v>
      </c>
    </row>
    <row r="241" spans="1:9" x14ac:dyDescent="0.35">
      <c r="A241">
        <v>240</v>
      </c>
      <c r="B241">
        <v>102</v>
      </c>
      <c r="C241">
        <v>1</v>
      </c>
      <c r="D241" s="1">
        <v>42036</v>
      </c>
      <c r="E241">
        <v>12.5</v>
      </c>
      <c r="F241">
        <v>12.5</v>
      </c>
      <c r="G241" t="s">
        <v>22</v>
      </c>
      <c r="H241" t="s">
        <v>16</v>
      </c>
      <c r="I241" t="s">
        <v>21</v>
      </c>
    </row>
    <row r="242" spans="1:9" x14ac:dyDescent="0.35">
      <c r="A242">
        <v>241</v>
      </c>
      <c r="B242">
        <v>103</v>
      </c>
      <c r="C242">
        <v>1</v>
      </c>
      <c r="D242" s="1">
        <v>42036</v>
      </c>
      <c r="E242">
        <v>12.5</v>
      </c>
      <c r="F242">
        <v>12.5</v>
      </c>
      <c r="G242" t="s">
        <v>22</v>
      </c>
      <c r="H242" t="s">
        <v>16</v>
      </c>
      <c r="I242" t="s">
        <v>25</v>
      </c>
    </row>
    <row r="243" spans="1:9" x14ac:dyDescent="0.35">
      <c r="A243">
        <v>242</v>
      </c>
      <c r="B243">
        <v>104</v>
      </c>
      <c r="C243">
        <v>1</v>
      </c>
      <c r="D243" s="1">
        <v>42036</v>
      </c>
      <c r="E243">
        <v>16.75</v>
      </c>
      <c r="F243">
        <v>16.75</v>
      </c>
      <c r="G243" t="s">
        <v>9</v>
      </c>
      <c r="H243" t="s">
        <v>19</v>
      </c>
      <c r="I243" t="s">
        <v>23</v>
      </c>
    </row>
    <row r="244" spans="1:9" x14ac:dyDescent="0.35">
      <c r="A244">
        <v>243</v>
      </c>
      <c r="B244">
        <v>104</v>
      </c>
      <c r="C244">
        <v>1</v>
      </c>
      <c r="D244" s="1">
        <v>42036</v>
      </c>
      <c r="E244">
        <v>16.75</v>
      </c>
      <c r="F244">
        <v>16.75</v>
      </c>
      <c r="G244" t="s">
        <v>9</v>
      </c>
      <c r="H244" t="s">
        <v>19</v>
      </c>
      <c r="I244" t="s">
        <v>45</v>
      </c>
    </row>
    <row r="245" spans="1:9" x14ac:dyDescent="0.35">
      <c r="A245">
        <v>244</v>
      </c>
      <c r="B245">
        <v>104</v>
      </c>
      <c r="C245">
        <v>1</v>
      </c>
      <c r="D245" s="1">
        <v>42036</v>
      </c>
      <c r="E245">
        <v>16.75</v>
      </c>
      <c r="F245">
        <v>16.75</v>
      </c>
      <c r="G245" t="s">
        <v>9</v>
      </c>
      <c r="H245" t="s">
        <v>14</v>
      </c>
      <c r="I245" t="s">
        <v>40</v>
      </c>
    </row>
    <row r="246" spans="1:9" x14ac:dyDescent="0.35">
      <c r="A246">
        <v>245</v>
      </c>
      <c r="B246">
        <v>104</v>
      </c>
      <c r="C246">
        <v>1</v>
      </c>
      <c r="D246" s="1">
        <v>42036</v>
      </c>
      <c r="E246">
        <v>20.25</v>
      </c>
      <c r="F246">
        <v>20.25</v>
      </c>
      <c r="G246" t="s">
        <v>13</v>
      </c>
      <c r="H246" t="s">
        <v>14</v>
      </c>
      <c r="I246" t="s">
        <v>30</v>
      </c>
    </row>
    <row r="247" spans="1:9" x14ac:dyDescent="0.35">
      <c r="A247">
        <v>246</v>
      </c>
      <c r="B247">
        <v>105</v>
      </c>
      <c r="C247">
        <v>2</v>
      </c>
      <c r="D247" s="1">
        <v>42036</v>
      </c>
      <c r="E247">
        <v>10.5</v>
      </c>
      <c r="F247">
        <v>21</v>
      </c>
      <c r="G247" t="s">
        <v>22</v>
      </c>
      <c r="H247" t="s">
        <v>10</v>
      </c>
      <c r="I247" t="s">
        <v>11</v>
      </c>
    </row>
    <row r="248" spans="1:9" x14ac:dyDescent="0.35">
      <c r="A248">
        <v>247</v>
      </c>
      <c r="B248">
        <v>105</v>
      </c>
      <c r="C248">
        <v>1</v>
      </c>
      <c r="D248" s="1">
        <v>42036</v>
      </c>
      <c r="E248">
        <v>15.25</v>
      </c>
      <c r="F248">
        <v>15.25</v>
      </c>
      <c r="G248" t="s">
        <v>13</v>
      </c>
      <c r="H248" t="s">
        <v>10</v>
      </c>
      <c r="I248" t="s">
        <v>33</v>
      </c>
    </row>
    <row r="249" spans="1:9" x14ac:dyDescent="0.35">
      <c r="A249">
        <v>248</v>
      </c>
      <c r="B249">
        <v>105</v>
      </c>
      <c r="C249">
        <v>1</v>
      </c>
      <c r="D249" s="1">
        <v>42036</v>
      </c>
      <c r="E249">
        <v>16.5</v>
      </c>
      <c r="F249">
        <v>16.5</v>
      </c>
      <c r="G249" t="s">
        <v>9</v>
      </c>
      <c r="H249" t="s">
        <v>16</v>
      </c>
      <c r="I249" t="s">
        <v>21</v>
      </c>
    </row>
    <row r="250" spans="1:9" x14ac:dyDescent="0.35">
      <c r="A250">
        <v>249</v>
      </c>
      <c r="B250">
        <v>106</v>
      </c>
      <c r="C250">
        <v>1</v>
      </c>
      <c r="D250" s="1">
        <v>42036</v>
      </c>
      <c r="E250">
        <v>20.25</v>
      </c>
      <c r="F250">
        <v>20.25</v>
      </c>
      <c r="G250" t="s">
        <v>13</v>
      </c>
      <c r="H250" t="s">
        <v>14</v>
      </c>
      <c r="I250" t="s">
        <v>18</v>
      </c>
    </row>
    <row r="251" spans="1:9" x14ac:dyDescent="0.35">
      <c r="A251">
        <v>250</v>
      </c>
      <c r="B251">
        <v>106</v>
      </c>
      <c r="C251">
        <v>1</v>
      </c>
      <c r="D251" s="1">
        <v>42036</v>
      </c>
      <c r="E251">
        <v>20.75</v>
      </c>
      <c r="F251">
        <v>20.75</v>
      </c>
      <c r="G251" t="s">
        <v>13</v>
      </c>
      <c r="H251" t="s">
        <v>16</v>
      </c>
      <c r="I251" t="s">
        <v>28</v>
      </c>
    </row>
    <row r="252" spans="1:9" x14ac:dyDescent="0.35">
      <c r="A252">
        <v>251</v>
      </c>
      <c r="B252">
        <v>107</v>
      </c>
      <c r="C252">
        <v>1</v>
      </c>
      <c r="D252" s="1">
        <v>42036</v>
      </c>
      <c r="E252">
        <v>20.75</v>
      </c>
      <c r="F252">
        <v>20.75</v>
      </c>
      <c r="G252" t="s">
        <v>13</v>
      </c>
      <c r="H252" t="s">
        <v>19</v>
      </c>
      <c r="I252" t="s">
        <v>32</v>
      </c>
    </row>
    <row r="253" spans="1:9" x14ac:dyDescent="0.35">
      <c r="A253">
        <v>252</v>
      </c>
      <c r="B253">
        <v>107</v>
      </c>
      <c r="C253">
        <v>1</v>
      </c>
      <c r="D253" s="1">
        <v>42036</v>
      </c>
      <c r="E253">
        <v>16.5</v>
      </c>
      <c r="F253">
        <v>16.5</v>
      </c>
      <c r="G253" t="s">
        <v>9</v>
      </c>
      <c r="H253" t="s">
        <v>16</v>
      </c>
      <c r="I253" t="s">
        <v>17</v>
      </c>
    </row>
    <row r="254" spans="1:9" x14ac:dyDescent="0.35">
      <c r="A254">
        <v>253</v>
      </c>
      <c r="B254">
        <v>107</v>
      </c>
      <c r="C254">
        <v>1</v>
      </c>
      <c r="D254" s="1">
        <v>42036</v>
      </c>
      <c r="E254">
        <v>20.75</v>
      </c>
      <c r="F254">
        <v>20.75</v>
      </c>
      <c r="G254" t="s">
        <v>13</v>
      </c>
      <c r="H254" t="s">
        <v>16</v>
      </c>
      <c r="I254" t="s">
        <v>28</v>
      </c>
    </row>
    <row r="255" spans="1:9" x14ac:dyDescent="0.35">
      <c r="A255">
        <v>254</v>
      </c>
      <c r="B255">
        <v>107</v>
      </c>
      <c r="C255">
        <v>1</v>
      </c>
      <c r="D255" s="1">
        <v>42036</v>
      </c>
      <c r="E255">
        <v>20.25</v>
      </c>
      <c r="F255">
        <v>20.25</v>
      </c>
      <c r="G255" t="s">
        <v>13</v>
      </c>
      <c r="H255" t="s">
        <v>14</v>
      </c>
      <c r="I255" t="s">
        <v>30</v>
      </c>
    </row>
    <row r="256" spans="1:9" x14ac:dyDescent="0.35">
      <c r="A256">
        <v>255</v>
      </c>
      <c r="B256">
        <v>108</v>
      </c>
      <c r="C256">
        <v>1</v>
      </c>
      <c r="D256" s="1">
        <v>42036</v>
      </c>
      <c r="E256">
        <v>20.5</v>
      </c>
      <c r="F256">
        <v>20.5</v>
      </c>
      <c r="G256" t="s">
        <v>13</v>
      </c>
      <c r="H256" t="s">
        <v>10</v>
      </c>
      <c r="I256" t="s">
        <v>12</v>
      </c>
    </row>
    <row r="257" spans="1:9" x14ac:dyDescent="0.35">
      <c r="A257">
        <v>256</v>
      </c>
      <c r="B257">
        <v>108</v>
      </c>
      <c r="C257">
        <v>1</v>
      </c>
      <c r="D257" s="1">
        <v>42036</v>
      </c>
      <c r="E257">
        <v>16.5</v>
      </c>
      <c r="F257">
        <v>16.5</v>
      </c>
      <c r="G257" t="s">
        <v>13</v>
      </c>
      <c r="H257" t="s">
        <v>10</v>
      </c>
      <c r="I257" t="s">
        <v>11</v>
      </c>
    </row>
    <row r="258" spans="1:9" x14ac:dyDescent="0.35">
      <c r="A258">
        <v>257</v>
      </c>
      <c r="B258">
        <v>108</v>
      </c>
      <c r="C258">
        <v>1</v>
      </c>
      <c r="D258" s="1">
        <v>42036</v>
      </c>
      <c r="E258">
        <v>20.75</v>
      </c>
      <c r="F258">
        <v>20.75</v>
      </c>
      <c r="G258" t="s">
        <v>13</v>
      </c>
      <c r="H258" t="s">
        <v>16</v>
      </c>
      <c r="I258" t="s">
        <v>25</v>
      </c>
    </row>
    <row r="259" spans="1:9" x14ac:dyDescent="0.35">
      <c r="A259">
        <v>258</v>
      </c>
      <c r="B259">
        <v>109</v>
      </c>
      <c r="C259">
        <v>1</v>
      </c>
      <c r="D259" s="1">
        <v>42036</v>
      </c>
      <c r="E259">
        <v>20.5</v>
      </c>
      <c r="F259">
        <v>20.5</v>
      </c>
      <c r="G259" t="s">
        <v>13</v>
      </c>
      <c r="H259" t="s">
        <v>10</v>
      </c>
      <c r="I259" t="s">
        <v>27</v>
      </c>
    </row>
    <row r="260" spans="1:9" x14ac:dyDescent="0.35">
      <c r="A260">
        <v>259</v>
      </c>
      <c r="B260">
        <v>109</v>
      </c>
      <c r="C260">
        <v>1</v>
      </c>
      <c r="D260" s="1">
        <v>42036</v>
      </c>
      <c r="E260">
        <v>20.75</v>
      </c>
      <c r="F260">
        <v>20.75</v>
      </c>
      <c r="G260" t="s">
        <v>13</v>
      </c>
      <c r="H260" t="s">
        <v>16</v>
      </c>
      <c r="I260" t="s">
        <v>17</v>
      </c>
    </row>
    <row r="261" spans="1:9" x14ac:dyDescent="0.35">
      <c r="A261">
        <v>260</v>
      </c>
      <c r="B261">
        <v>109</v>
      </c>
      <c r="C261">
        <v>1</v>
      </c>
      <c r="D261" s="1">
        <v>42036</v>
      </c>
      <c r="E261">
        <v>12.5</v>
      </c>
      <c r="F261">
        <v>12.5</v>
      </c>
      <c r="G261" t="s">
        <v>9</v>
      </c>
      <c r="H261" t="s">
        <v>10</v>
      </c>
      <c r="I261" t="s">
        <v>33</v>
      </c>
    </row>
    <row r="262" spans="1:9" x14ac:dyDescent="0.35">
      <c r="A262">
        <v>261</v>
      </c>
      <c r="B262">
        <v>109</v>
      </c>
      <c r="C262">
        <v>1</v>
      </c>
      <c r="D262" s="1">
        <v>42036</v>
      </c>
      <c r="E262">
        <v>20.75</v>
      </c>
      <c r="F262">
        <v>20.75</v>
      </c>
      <c r="G262" t="s">
        <v>13</v>
      </c>
      <c r="H262" t="s">
        <v>16</v>
      </c>
      <c r="I262" t="s">
        <v>21</v>
      </c>
    </row>
    <row r="263" spans="1:9" x14ac:dyDescent="0.35">
      <c r="A263">
        <v>262</v>
      </c>
      <c r="B263">
        <v>110</v>
      </c>
      <c r="C263">
        <v>1</v>
      </c>
      <c r="D263" s="1">
        <v>42036</v>
      </c>
      <c r="E263">
        <v>12</v>
      </c>
      <c r="F263">
        <v>12</v>
      </c>
      <c r="G263" t="s">
        <v>22</v>
      </c>
      <c r="H263" t="s">
        <v>10</v>
      </c>
      <c r="I263" t="s">
        <v>35</v>
      </c>
    </row>
    <row r="264" spans="1:9" x14ac:dyDescent="0.35">
      <c r="A264">
        <v>263</v>
      </c>
      <c r="B264">
        <v>110</v>
      </c>
      <c r="C264">
        <v>1</v>
      </c>
      <c r="D264" s="1">
        <v>42036</v>
      </c>
      <c r="E264">
        <v>20.5</v>
      </c>
      <c r="F264">
        <v>20.5</v>
      </c>
      <c r="G264" t="s">
        <v>13</v>
      </c>
      <c r="H264" t="s">
        <v>10</v>
      </c>
      <c r="I264" t="s">
        <v>38</v>
      </c>
    </row>
    <row r="265" spans="1:9" x14ac:dyDescent="0.35">
      <c r="A265">
        <v>264</v>
      </c>
      <c r="B265">
        <v>110</v>
      </c>
      <c r="C265">
        <v>1</v>
      </c>
      <c r="D265" s="1">
        <v>42036</v>
      </c>
      <c r="E265">
        <v>20.75</v>
      </c>
      <c r="F265">
        <v>20.75</v>
      </c>
      <c r="G265" t="s">
        <v>13</v>
      </c>
      <c r="H265" t="s">
        <v>16</v>
      </c>
      <c r="I265" t="s">
        <v>36</v>
      </c>
    </row>
    <row r="266" spans="1:9" x14ac:dyDescent="0.35">
      <c r="A266">
        <v>265</v>
      </c>
      <c r="B266">
        <v>110</v>
      </c>
      <c r="C266">
        <v>1</v>
      </c>
      <c r="D266" s="1">
        <v>42036</v>
      </c>
      <c r="E266">
        <v>12.5</v>
      </c>
      <c r="F266">
        <v>12.5</v>
      </c>
      <c r="G266" t="s">
        <v>22</v>
      </c>
      <c r="H266" t="s">
        <v>16</v>
      </c>
      <c r="I266" t="s">
        <v>28</v>
      </c>
    </row>
    <row r="267" spans="1:9" x14ac:dyDescent="0.35">
      <c r="A267">
        <v>266</v>
      </c>
      <c r="B267">
        <v>111</v>
      </c>
      <c r="C267">
        <v>1</v>
      </c>
      <c r="D267" s="1">
        <v>42036</v>
      </c>
      <c r="E267">
        <v>16.75</v>
      </c>
      <c r="F267">
        <v>16.75</v>
      </c>
      <c r="G267" t="s">
        <v>9</v>
      </c>
      <c r="H267" t="s">
        <v>19</v>
      </c>
      <c r="I267" t="s">
        <v>32</v>
      </c>
    </row>
    <row r="268" spans="1:9" x14ac:dyDescent="0.35">
      <c r="A268">
        <v>267</v>
      </c>
      <c r="B268">
        <v>111</v>
      </c>
      <c r="C268">
        <v>1</v>
      </c>
      <c r="D268" s="1">
        <v>42036</v>
      </c>
      <c r="E268">
        <v>18.5</v>
      </c>
      <c r="F268">
        <v>18.5</v>
      </c>
      <c r="G268" t="s">
        <v>13</v>
      </c>
      <c r="H268" t="s">
        <v>14</v>
      </c>
      <c r="I268" t="s">
        <v>15</v>
      </c>
    </row>
    <row r="269" spans="1:9" x14ac:dyDescent="0.35">
      <c r="A269">
        <v>268</v>
      </c>
      <c r="B269">
        <v>111</v>
      </c>
      <c r="C269">
        <v>1</v>
      </c>
      <c r="D269" s="1">
        <v>42036</v>
      </c>
      <c r="E269">
        <v>12.5</v>
      </c>
      <c r="F269">
        <v>12.5</v>
      </c>
      <c r="G269" t="s">
        <v>9</v>
      </c>
      <c r="H269" t="s">
        <v>10</v>
      </c>
      <c r="I269" t="s">
        <v>33</v>
      </c>
    </row>
    <row r="270" spans="1:9" x14ac:dyDescent="0.35">
      <c r="A270">
        <v>269</v>
      </c>
      <c r="B270">
        <v>111</v>
      </c>
      <c r="C270">
        <v>1</v>
      </c>
      <c r="D270" s="1">
        <v>42036</v>
      </c>
      <c r="E270">
        <v>20.75</v>
      </c>
      <c r="F270">
        <v>20.75</v>
      </c>
      <c r="G270" t="s">
        <v>13</v>
      </c>
      <c r="H270" t="s">
        <v>14</v>
      </c>
      <c r="I270" t="s">
        <v>29</v>
      </c>
    </row>
    <row r="271" spans="1:9" x14ac:dyDescent="0.35">
      <c r="A271">
        <v>270</v>
      </c>
      <c r="B271">
        <v>112</v>
      </c>
      <c r="C271">
        <v>1</v>
      </c>
      <c r="D271" s="1">
        <v>42036</v>
      </c>
      <c r="E271">
        <v>9.75</v>
      </c>
      <c r="F271">
        <v>9.75</v>
      </c>
      <c r="G271" t="s">
        <v>22</v>
      </c>
      <c r="H271" t="s">
        <v>10</v>
      </c>
      <c r="I271" t="s">
        <v>33</v>
      </c>
    </row>
    <row r="272" spans="1:9" x14ac:dyDescent="0.35">
      <c r="A272">
        <v>271</v>
      </c>
      <c r="B272">
        <v>113</v>
      </c>
      <c r="C272">
        <v>1</v>
      </c>
      <c r="D272" s="1">
        <v>42036</v>
      </c>
      <c r="E272">
        <v>20.75</v>
      </c>
      <c r="F272">
        <v>20.75</v>
      </c>
      <c r="G272" t="s">
        <v>13</v>
      </c>
      <c r="H272" t="s">
        <v>19</v>
      </c>
      <c r="I272" t="s">
        <v>32</v>
      </c>
    </row>
    <row r="273" spans="1:9" x14ac:dyDescent="0.35">
      <c r="A273">
        <v>272</v>
      </c>
      <c r="B273">
        <v>113</v>
      </c>
      <c r="C273">
        <v>1</v>
      </c>
      <c r="D273" s="1">
        <v>42036</v>
      </c>
      <c r="E273">
        <v>20.25</v>
      </c>
      <c r="F273">
        <v>20.25</v>
      </c>
      <c r="G273" t="s">
        <v>13</v>
      </c>
      <c r="H273" t="s">
        <v>14</v>
      </c>
      <c r="I273" t="s">
        <v>18</v>
      </c>
    </row>
    <row r="274" spans="1:9" x14ac:dyDescent="0.35">
      <c r="A274">
        <v>273</v>
      </c>
      <c r="B274">
        <v>113</v>
      </c>
      <c r="C274">
        <v>1</v>
      </c>
      <c r="D274" s="1">
        <v>42036</v>
      </c>
      <c r="E274">
        <v>16.75</v>
      </c>
      <c r="F274">
        <v>16.75</v>
      </c>
      <c r="G274" t="s">
        <v>9</v>
      </c>
      <c r="H274" t="s">
        <v>19</v>
      </c>
      <c r="I274" t="s">
        <v>31</v>
      </c>
    </row>
    <row r="275" spans="1:9" x14ac:dyDescent="0.35">
      <c r="A275">
        <v>274</v>
      </c>
      <c r="B275">
        <v>114</v>
      </c>
      <c r="C275">
        <v>1</v>
      </c>
      <c r="D275" s="1">
        <v>42036</v>
      </c>
      <c r="E275">
        <v>15.25</v>
      </c>
      <c r="F275">
        <v>15.25</v>
      </c>
      <c r="G275" t="s">
        <v>13</v>
      </c>
      <c r="H275" t="s">
        <v>10</v>
      </c>
      <c r="I275" t="s">
        <v>33</v>
      </c>
    </row>
    <row r="276" spans="1:9" x14ac:dyDescent="0.35">
      <c r="A276">
        <v>275</v>
      </c>
      <c r="B276">
        <v>114</v>
      </c>
      <c r="C276">
        <v>1</v>
      </c>
      <c r="D276" s="1">
        <v>42036</v>
      </c>
      <c r="E276">
        <v>12.25</v>
      </c>
      <c r="F276">
        <v>12.25</v>
      </c>
      <c r="G276" t="s">
        <v>22</v>
      </c>
      <c r="H276" t="s">
        <v>16</v>
      </c>
      <c r="I276" t="s">
        <v>44</v>
      </c>
    </row>
    <row r="277" spans="1:9" x14ac:dyDescent="0.35">
      <c r="A277">
        <v>276</v>
      </c>
      <c r="B277">
        <v>115</v>
      </c>
      <c r="C277">
        <v>1</v>
      </c>
      <c r="D277" s="1">
        <v>42036</v>
      </c>
      <c r="E277">
        <v>12</v>
      </c>
      <c r="F277">
        <v>12</v>
      </c>
      <c r="G277" t="s">
        <v>22</v>
      </c>
      <c r="H277" t="s">
        <v>10</v>
      </c>
      <c r="I277" t="s">
        <v>35</v>
      </c>
    </row>
    <row r="278" spans="1:9" x14ac:dyDescent="0.35">
      <c r="A278">
        <v>277</v>
      </c>
      <c r="B278">
        <v>115</v>
      </c>
      <c r="C278">
        <v>1</v>
      </c>
      <c r="D278" s="1">
        <v>42036</v>
      </c>
      <c r="E278">
        <v>20.5</v>
      </c>
      <c r="F278">
        <v>20.5</v>
      </c>
      <c r="G278" t="s">
        <v>13</v>
      </c>
      <c r="H278" t="s">
        <v>10</v>
      </c>
      <c r="I278" t="s">
        <v>38</v>
      </c>
    </row>
    <row r="279" spans="1:9" x14ac:dyDescent="0.35">
      <c r="A279">
        <v>278</v>
      </c>
      <c r="B279">
        <v>115</v>
      </c>
      <c r="C279">
        <v>1</v>
      </c>
      <c r="D279" s="1">
        <v>42036</v>
      </c>
      <c r="E279">
        <v>16.75</v>
      </c>
      <c r="F279">
        <v>16.75</v>
      </c>
      <c r="G279" t="s">
        <v>9</v>
      </c>
      <c r="H279" t="s">
        <v>19</v>
      </c>
      <c r="I279" t="s">
        <v>20</v>
      </c>
    </row>
    <row r="280" spans="1:9" x14ac:dyDescent="0.35">
      <c r="A280">
        <v>279</v>
      </c>
      <c r="B280">
        <v>116</v>
      </c>
      <c r="C280">
        <v>1</v>
      </c>
      <c r="D280" s="1">
        <v>42036</v>
      </c>
      <c r="E280">
        <v>18.5</v>
      </c>
      <c r="F280">
        <v>18.5</v>
      </c>
      <c r="G280" t="s">
        <v>13</v>
      </c>
      <c r="H280" t="s">
        <v>14</v>
      </c>
      <c r="I280" t="s">
        <v>15</v>
      </c>
    </row>
    <row r="281" spans="1:9" x14ac:dyDescent="0.35">
      <c r="A281">
        <v>280</v>
      </c>
      <c r="B281">
        <v>117</v>
      </c>
      <c r="C281">
        <v>1</v>
      </c>
      <c r="D281" s="1">
        <v>42036</v>
      </c>
      <c r="E281">
        <v>16.5</v>
      </c>
      <c r="F281">
        <v>16.5</v>
      </c>
      <c r="G281" t="s">
        <v>9</v>
      </c>
      <c r="H281" t="s">
        <v>16</v>
      </c>
      <c r="I281" t="s">
        <v>42</v>
      </c>
    </row>
    <row r="282" spans="1:9" x14ac:dyDescent="0.35">
      <c r="A282">
        <v>281</v>
      </c>
      <c r="B282">
        <v>117</v>
      </c>
      <c r="C282">
        <v>1</v>
      </c>
      <c r="D282" s="1">
        <v>42036</v>
      </c>
      <c r="E282">
        <v>20.25</v>
      </c>
      <c r="F282">
        <v>20.25</v>
      </c>
      <c r="G282" t="s">
        <v>13</v>
      </c>
      <c r="H282" t="s">
        <v>16</v>
      </c>
      <c r="I282" t="s">
        <v>44</v>
      </c>
    </row>
    <row r="283" spans="1:9" x14ac:dyDescent="0.35">
      <c r="A283">
        <v>282</v>
      </c>
      <c r="B283">
        <v>118</v>
      </c>
      <c r="C283">
        <v>1</v>
      </c>
      <c r="D283" s="1">
        <v>42036</v>
      </c>
      <c r="E283">
        <v>20.75</v>
      </c>
      <c r="F283">
        <v>20.75</v>
      </c>
      <c r="G283" t="s">
        <v>13</v>
      </c>
      <c r="H283" t="s">
        <v>16</v>
      </c>
      <c r="I283" t="s">
        <v>21</v>
      </c>
    </row>
    <row r="284" spans="1:9" x14ac:dyDescent="0.35">
      <c r="A284">
        <v>283</v>
      </c>
      <c r="B284">
        <v>118</v>
      </c>
      <c r="C284">
        <v>1</v>
      </c>
      <c r="D284" s="1">
        <v>42036</v>
      </c>
      <c r="E284">
        <v>12</v>
      </c>
      <c r="F284">
        <v>12</v>
      </c>
      <c r="G284" t="s">
        <v>22</v>
      </c>
      <c r="H284" t="s">
        <v>14</v>
      </c>
      <c r="I284" t="s">
        <v>43</v>
      </c>
    </row>
    <row r="285" spans="1:9" x14ac:dyDescent="0.35">
      <c r="A285">
        <v>284</v>
      </c>
      <c r="B285">
        <v>119</v>
      </c>
      <c r="C285">
        <v>1</v>
      </c>
      <c r="D285" s="1">
        <v>42036</v>
      </c>
      <c r="E285">
        <v>14.75</v>
      </c>
      <c r="F285">
        <v>14.75</v>
      </c>
      <c r="G285" t="s">
        <v>9</v>
      </c>
      <c r="H285" t="s">
        <v>14</v>
      </c>
      <c r="I285" t="s">
        <v>37</v>
      </c>
    </row>
    <row r="286" spans="1:9" x14ac:dyDescent="0.35">
      <c r="A286">
        <v>285</v>
      </c>
      <c r="B286">
        <v>120</v>
      </c>
      <c r="C286">
        <v>1</v>
      </c>
      <c r="D286" s="1">
        <v>42036</v>
      </c>
      <c r="E286">
        <v>12</v>
      </c>
      <c r="F286">
        <v>12</v>
      </c>
      <c r="G286" t="s">
        <v>22</v>
      </c>
      <c r="H286" t="s">
        <v>10</v>
      </c>
      <c r="I286" t="s">
        <v>12</v>
      </c>
    </row>
    <row r="287" spans="1:9" x14ac:dyDescent="0.35">
      <c r="A287">
        <v>286</v>
      </c>
      <c r="B287">
        <v>120</v>
      </c>
      <c r="C287">
        <v>1</v>
      </c>
      <c r="D287" s="1">
        <v>42036</v>
      </c>
      <c r="E287">
        <v>10.5</v>
      </c>
      <c r="F287">
        <v>10.5</v>
      </c>
      <c r="G287" t="s">
        <v>22</v>
      </c>
      <c r="H287" t="s">
        <v>10</v>
      </c>
      <c r="I287" t="s">
        <v>11</v>
      </c>
    </row>
    <row r="288" spans="1:9" x14ac:dyDescent="0.35">
      <c r="A288">
        <v>287</v>
      </c>
      <c r="B288">
        <v>120</v>
      </c>
      <c r="C288">
        <v>1</v>
      </c>
      <c r="D288" s="1">
        <v>42036</v>
      </c>
      <c r="E288">
        <v>20.25</v>
      </c>
      <c r="F288">
        <v>20.25</v>
      </c>
      <c r="G288" t="s">
        <v>13</v>
      </c>
      <c r="H288" t="s">
        <v>14</v>
      </c>
      <c r="I288" t="s">
        <v>43</v>
      </c>
    </row>
    <row r="289" spans="1:9" x14ac:dyDescent="0.35">
      <c r="A289">
        <v>288</v>
      </c>
      <c r="B289">
        <v>121</v>
      </c>
      <c r="C289">
        <v>1</v>
      </c>
      <c r="D289" s="1">
        <v>42036</v>
      </c>
      <c r="E289">
        <v>16.75</v>
      </c>
      <c r="F289">
        <v>16.75</v>
      </c>
      <c r="G289" t="s">
        <v>9</v>
      </c>
      <c r="H289" t="s">
        <v>19</v>
      </c>
      <c r="I289" t="s">
        <v>23</v>
      </c>
    </row>
    <row r="290" spans="1:9" x14ac:dyDescent="0.35">
      <c r="A290">
        <v>289</v>
      </c>
      <c r="B290">
        <v>121</v>
      </c>
      <c r="C290">
        <v>1</v>
      </c>
      <c r="D290" s="1">
        <v>42036</v>
      </c>
      <c r="E290">
        <v>17.95</v>
      </c>
      <c r="F290">
        <v>17.95</v>
      </c>
      <c r="G290" t="s">
        <v>13</v>
      </c>
      <c r="H290" t="s">
        <v>14</v>
      </c>
      <c r="I290" t="s">
        <v>37</v>
      </c>
    </row>
    <row r="291" spans="1:9" x14ac:dyDescent="0.35">
      <c r="A291">
        <v>290</v>
      </c>
      <c r="B291">
        <v>121</v>
      </c>
      <c r="C291">
        <v>1</v>
      </c>
      <c r="D291" s="1">
        <v>42036</v>
      </c>
      <c r="E291">
        <v>20.25</v>
      </c>
      <c r="F291">
        <v>20.25</v>
      </c>
      <c r="G291" t="s">
        <v>13</v>
      </c>
      <c r="H291" t="s">
        <v>16</v>
      </c>
      <c r="I291" t="s">
        <v>44</v>
      </c>
    </row>
    <row r="292" spans="1:9" x14ac:dyDescent="0.35">
      <c r="A292">
        <v>291</v>
      </c>
      <c r="B292">
        <v>121</v>
      </c>
      <c r="C292">
        <v>1</v>
      </c>
      <c r="D292" s="1">
        <v>42036</v>
      </c>
      <c r="E292">
        <v>20.75</v>
      </c>
      <c r="F292">
        <v>20.75</v>
      </c>
      <c r="G292" t="s">
        <v>13</v>
      </c>
      <c r="H292" t="s">
        <v>19</v>
      </c>
      <c r="I292" t="s">
        <v>31</v>
      </c>
    </row>
    <row r="293" spans="1:9" x14ac:dyDescent="0.35">
      <c r="A293">
        <v>292</v>
      </c>
      <c r="B293">
        <v>122</v>
      </c>
      <c r="C293">
        <v>1</v>
      </c>
      <c r="D293" s="1">
        <v>42036</v>
      </c>
      <c r="E293">
        <v>16.5</v>
      </c>
      <c r="F293">
        <v>16.5</v>
      </c>
      <c r="G293" t="s">
        <v>9</v>
      </c>
      <c r="H293" t="s">
        <v>16</v>
      </c>
      <c r="I293" t="s">
        <v>17</v>
      </c>
    </row>
    <row r="294" spans="1:9" x14ac:dyDescent="0.35">
      <c r="A294">
        <v>293</v>
      </c>
      <c r="B294">
        <v>123</v>
      </c>
      <c r="C294">
        <v>1</v>
      </c>
      <c r="D294" s="1">
        <v>42036</v>
      </c>
      <c r="E294">
        <v>12</v>
      </c>
      <c r="F294">
        <v>12</v>
      </c>
      <c r="G294" t="s">
        <v>22</v>
      </c>
      <c r="H294" t="s">
        <v>10</v>
      </c>
      <c r="I294" t="s">
        <v>27</v>
      </c>
    </row>
    <row r="295" spans="1:9" x14ac:dyDescent="0.35">
      <c r="A295">
        <v>294</v>
      </c>
      <c r="B295">
        <v>124</v>
      </c>
      <c r="C295">
        <v>1</v>
      </c>
      <c r="D295" s="1">
        <v>42036</v>
      </c>
      <c r="E295">
        <v>12.75</v>
      </c>
      <c r="F295">
        <v>12.75</v>
      </c>
      <c r="G295" t="s">
        <v>22</v>
      </c>
      <c r="H295" t="s">
        <v>19</v>
      </c>
      <c r="I295" t="s">
        <v>23</v>
      </c>
    </row>
    <row r="296" spans="1:9" x14ac:dyDescent="0.35">
      <c r="A296">
        <v>295</v>
      </c>
      <c r="B296">
        <v>124</v>
      </c>
      <c r="C296">
        <v>1</v>
      </c>
      <c r="D296" s="1">
        <v>42036</v>
      </c>
      <c r="E296">
        <v>20.25</v>
      </c>
      <c r="F296">
        <v>20.25</v>
      </c>
      <c r="G296" t="s">
        <v>13</v>
      </c>
      <c r="H296" t="s">
        <v>16</v>
      </c>
      <c r="I296" t="s">
        <v>44</v>
      </c>
    </row>
    <row r="297" spans="1:9" x14ac:dyDescent="0.35">
      <c r="A297">
        <v>296</v>
      </c>
      <c r="B297">
        <v>124</v>
      </c>
      <c r="C297">
        <v>1</v>
      </c>
      <c r="D297" s="1">
        <v>42036</v>
      </c>
      <c r="E297">
        <v>20.75</v>
      </c>
      <c r="F297">
        <v>20.75</v>
      </c>
      <c r="G297" t="s">
        <v>13</v>
      </c>
      <c r="H297" t="s">
        <v>16</v>
      </c>
      <c r="I297" t="s">
        <v>28</v>
      </c>
    </row>
    <row r="298" spans="1:9" x14ac:dyDescent="0.35">
      <c r="A298">
        <v>297</v>
      </c>
      <c r="B298">
        <v>124</v>
      </c>
      <c r="C298">
        <v>1</v>
      </c>
      <c r="D298" s="1">
        <v>42036</v>
      </c>
      <c r="E298">
        <v>12</v>
      </c>
      <c r="F298">
        <v>12</v>
      </c>
      <c r="G298" t="s">
        <v>22</v>
      </c>
      <c r="H298" t="s">
        <v>10</v>
      </c>
      <c r="I298" t="s">
        <v>24</v>
      </c>
    </row>
    <row r="299" spans="1:9" x14ac:dyDescent="0.35">
      <c r="A299">
        <v>298</v>
      </c>
      <c r="B299">
        <v>125</v>
      </c>
      <c r="C299">
        <v>1</v>
      </c>
      <c r="D299" s="1">
        <v>42036</v>
      </c>
      <c r="E299">
        <v>25.5</v>
      </c>
      <c r="F299">
        <v>25.5</v>
      </c>
      <c r="G299" t="s">
        <v>47</v>
      </c>
      <c r="H299" t="s">
        <v>10</v>
      </c>
      <c r="I299" t="s">
        <v>24</v>
      </c>
    </row>
    <row r="300" spans="1:9" x14ac:dyDescent="0.35">
      <c r="A300">
        <v>299</v>
      </c>
      <c r="B300">
        <v>126</v>
      </c>
      <c r="C300">
        <v>1</v>
      </c>
      <c r="D300" s="1">
        <v>42036</v>
      </c>
      <c r="E300">
        <v>20.25</v>
      </c>
      <c r="F300">
        <v>20.25</v>
      </c>
      <c r="G300" t="s">
        <v>13</v>
      </c>
      <c r="H300" t="s">
        <v>14</v>
      </c>
      <c r="I300" t="s">
        <v>30</v>
      </c>
    </row>
    <row r="301" spans="1:9" x14ac:dyDescent="0.35">
      <c r="A301">
        <v>300</v>
      </c>
      <c r="B301">
        <v>127</v>
      </c>
      <c r="C301">
        <v>1</v>
      </c>
      <c r="D301" s="1">
        <v>42036</v>
      </c>
      <c r="E301">
        <v>12.5</v>
      </c>
      <c r="F301">
        <v>12.5</v>
      </c>
      <c r="G301" t="s">
        <v>9</v>
      </c>
      <c r="H301" t="s">
        <v>10</v>
      </c>
      <c r="I301" t="s">
        <v>33</v>
      </c>
    </row>
    <row r="302" spans="1:9" x14ac:dyDescent="0.35">
      <c r="A302">
        <v>301</v>
      </c>
      <c r="B302">
        <v>128</v>
      </c>
      <c r="C302">
        <v>1</v>
      </c>
      <c r="D302" s="1">
        <v>42036</v>
      </c>
      <c r="E302">
        <v>12.5</v>
      </c>
      <c r="F302">
        <v>12.5</v>
      </c>
      <c r="G302" t="s">
        <v>22</v>
      </c>
      <c r="H302" t="s">
        <v>16</v>
      </c>
      <c r="I302" t="s">
        <v>28</v>
      </c>
    </row>
    <row r="303" spans="1:9" x14ac:dyDescent="0.35">
      <c r="A303">
        <v>302</v>
      </c>
      <c r="B303">
        <v>129</v>
      </c>
      <c r="C303">
        <v>1</v>
      </c>
      <c r="D303" s="1">
        <v>42036</v>
      </c>
      <c r="E303">
        <v>12</v>
      </c>
      <c r="F303">
        <v>12</v>
      </c>
      <c r="G303" t="s">
        <v>22</v>
      </c>
      <c r="H303" t="s">
        <v>10</v>
      </c>
      <c r="I303" t="s">
        <v>35</v>
      </c>
    </row>
    <row r="304" spans="1:9" x14ac:dyDescent="0.35">
      <c r="A304">
        <v>303</v>
      </c>
      <c r="B304">
        <v>129</v>
      </c>
      <c r="C304">
        <v>1</v>
      </c>
      <c r="D304" s="1">
        <v>42036</v>
      </c>
      <c r="E304">
        <v>16</v>
      </c>
      <c r="F304">
        <v>16</v>
      </c>
      <c r="G304" t="s">
        <v>9</v>
      </c>
      <c r="H304" t="s">
        <v>10</v>
      </c>
      <c r="I304" t="s">
        <v>24</v>
      </c>
    </row>
    <row r="305" spans="1:9" x14ac:dyDescent="0.35">
      <c r="A305">
        <v>304</v>
      </c>
      <c r="B305">
        <v>130</v>
      </c>
      <c r="C305">
        <v>1</v>
      </c>
      <c r="D305" s="1">
        <v>42036</v>
      </c>
      <c r="E305">
        <v>10.5</v>
      </c>
      <c r="F305">
        <v>10.5</v>
      </c>
      <c r="G305" t="s">
        <v>22</v>
      </c>
      <c r="H305" t="s">
        <v>10</v>
      </c>
      <c r="I305" t="s">
        <v>11</v>
      </c>
    </row>
    <row r="306" spans="1:9" x14ac:dyDescent="0.35">
      <c r="A306">
        <v>305</v>
      </c>
      <c r="B306">
        <v>130</v>
      </c>
      <c r="C306">
        <v>1</v>
      </c>
      <c r="D306" s="1">
        <v>42036</v>
      </c>
      <c r="E306">
        <v>20.5</v>
      </c>
      <c r="F306">
        <v>20.5</v>
      </c>
      <c r="G306" t="s">
        <v>13</v>
      </c>
      <c r="H306" t="s">
        <v>10</v>
      </c>
      <c r="I306" t="s">
        <v>27</v>
      </c>
    </row>
    <row r="307" spans="1:9" x14ac:dyDescent="0.35">
      <c r="A307">
        <v>306</v>
      </c>
      <c r="B307">
        <v>130</v>
      </c>
      <c r="C307">
        <v>1</v>
      </c>
      <c r="D307" s="1">
        <v>42036</v>
      </c>
      <c r="E307">
        <v>16</v>
      </c>
      <c r="F307">
        <v>16</v>
      </c>
      <c r="G307" t="s">
        <v>9</v>
      </c>
      <c r="H307" t="s">
        <v>14</v>
      </c>
      <c r="I307" t="s">
        <v>18</v>
      </c>
    </row>
    <row r="308" spans="1:9" x14ac:dyDescent="0.35">
      <c r="A308">
        <v>307</v>
      </c>
      <c r="B308">
        <v>130</v>
      </c>
      <c r="C308">
        <v>1</v>
      </c>
      <c r="D308" s="1">
        <v>42036</v>
      </c>
      <c r="E308">
        <v>12.75</v>
      </c>
      <c r="F308">
        <v>12.75</v>
      </c>
      <c r="G308" t="s">
        <v>22</v>
      </c>
      <c r="H308" t="s">
        <v>19</v>
      </c>
      <c r="I308" t="s">
        <v>31</v>
      </c>
    </row>
    <row r="309" spans="1:9" x14ac:dyDescent="0.35">
      <c r="A309">
        <v>308</v>
      </c>
      <c r="B309">
        <v>131</v>
      </c>
      <c r="C309">
        <v>1</v>
      </c>
      <c r="D309" s="1">
        <v>42036</v>
      </c>
      <c r="E309">
        <v>20.75</v>
      </c>
      <c r="F309">
        <v>20.75</v>
      </c>
      <c r="G309" t="s">
        <v>13</v>
      </c>
      <c r="H309" t="s">
        <v>19</v>
      </c>
      <c r="I309" t="s">
        <v>34</v>
      </c>
    </row>
    <row r="310" spans="1:9" x14ac:dyDescent="0.35">
      <c r="A310">
        <v>309</v>
      </c>
      <c r="B310">
        <v>131</v>
      </c>
      <c r="C310">
        <v>1</v>
      </c>
      <c r="D310" s="1">
        <v>42036</v>
      </c>
      <c r="E310">
        <v>18.5</v>
      </c>
      <c r="F310">
        <v>18.5</v>
      </c>
      <c r="G310" t="s">
        <v>13</v>
      </c>
      <c r="H310" t="s">
        <v>14</v>
      </c>
      <c r="I310" t="s">
        <v>15</v>
      </c>
    </row>
    <row r="311" spans="1:9" x14ac:dyDescent="0.35">
      <c r="A311">
        <v>310</v>
      </c>
      <c r="B311">
        <v>131</v>
      </c>
      <c r="C311">
        <v>1</v>
      </c>
      <c r="D311" s="1">
        <v>42036</v>
      </c>
      <c r="E311">
        <v>12</v>
      </c>
      <c r="F311">
        <v>12</v>
      </c>
      <c r="G311" t="s">
        <v>22</v>
      </c>
      <c r="H311" t="s">
        <v>14</v>
      </c>
      <c r="I311" t="s">
        <v>26</v>
      </c>
    </row>
    <row r="312" spans="1:9" x14ac:dyDescent="0.35">
      <c r="A312">
        <v>311</v>
      </c>
      <c r="B312">
        <v>131</v>
      </c>
      <c r="C312">
        <v>1</v>
      </c>
      <c r="D312" s="1">
        <v>42036</v>
      </c>
      <c r="E312">
        <v>12.5</v>
      </c>
      <c r="F312">
        <v>12.5</v>
      </c>
      <c r="G312" t="s">
        <v>22</v>
      </c>
      <c r="H312" t="s">
        <v>16</v>
      </c>
      <c r="I312" t="s">
        <v>25</v>
      </c>
    </row>
    <row r="313" spans="1:9" x14ac:dyDescent="0.35">
      <c r="A313">
        <v>312</v>
      </c>
      <c r="B313">
        <v>132</v>
      </c>
      <c r="C313">
        <v>1</v>
      </c>
      <c r="D313" s="1">
        <v>42036</v>
      </c>
      <c r="E313">
        <v>9.75</v>
      </c>
      <c r="F313">
        <v>9.75</v>
      </c>
      <c r="G313" t="s">
        <v>22</v>
      </c>
      <c r="H313" t="s">
        <v>10</v>
      </c>
      <c r="I313" t="s">
        <v>33</v>
      </c>
    </row>
    <row r="314" spans="1:9" x14ac:dyDescent="0.35">
      <c r="A314">
        <v>313</v>
      </c>
      <c r="B314">
        <v>133</v>
      </c>
      <c r="C314">
        <v>1</v>
      </c>
      <c r="D314" s="1">
        <v>42036</v>
      </c>
      <c r="E314">
        <v>20.75</v>
      </c>
      <c r="F314">
        <v>20.75</v>
      </c>
      <c r="G314" t="s">
        <v>13</v>
      </c>
      <c r="H314" t="s">
        <v>19</v>
      </c>
      <c r="I314" t="s">
        <v>23</v>
      </c>
    </row>
    <row r="315" spans="1:9" x14ac:dyDescent="0.35">
      <c r="A315">
        <v>314</v>
      </c>
      <c r="B315">
        <v>133</v>
      </c>
      <c r="C315">
        <v>1</v>
      </c>
      <c r="D315" s="1">
        <v>42036</v>
      </c>
      <c r="E315">
        <v>16.5</v>
      </c>
      <c r="F315">
        <v>16.5</v>
      </c>
      <c r="G315" t="s">
        <v>13</v>
      </c>
      <c r="H315" t="s">
        <v>10</v>
      </c>
      <c r="I315" t="s">
        <v>11</v>
      </c>
    </row>
    <row r="316" spans="1:9" x14ac:dyDescent="0.35">
      <c r="A316">
        <v>315</v>
      </c>
      <c r="B316">
        <v>133</v>
      </c>
      <c r="C316">
        <v>1</v>
      </c>
      <c r="D316" s="1">
        <v>42036</v>
      </c>
      <c r="E316">
        <v>12</v>
      </c>
      <c r="F316">
        <v>12</v>
      </c>
      <c r="G316" t="s">
        <v>22</v>
      </c>
      <c r="H316" t="s">
        <v>10</v>
      </c>
      <c r="I316" t="s">
        <v>24</v>
      </c>
    </row>
    <row r="317" spans="1:9" x14ac:dyDescent="0.35">
      <c r="A317">
        <v>316</v>
      </c>
      <c r="B317">
        <v>134</v>
      </c>
      <c r="C317">
        <v>1</v>
      </c>
      <c r="D317" s="1">
        <v>42036</v>
      </c>
      <c r="E317">
        <v>12</v>
      </c>
      <c r="F317">
        <v>12</v>
      </c>
      <c r="G317" t="s">
        <v>22</v>
      </c>
      <c r="H317" t="s">
        <v>10</v>
      </c>
      <c r="I317" t="s">
        <v>35</v>
      </c>
    </row>
    <row r="318" spans="1:9" x14ac:dyDescent="0.35">
      <c r="A318">
        <v>317</v>
      </c>
      <c r="B318">
        <v>134</v>
      </c>
      <c r="C318">
        <v>1</v>
      </c>
      <c r="D318" s="1">
        <v>42036</v>
      </c>
      <c r="E318">
        <v>20.75</v>
      </c>
      <c r="F318">
        <v>20.75</v>
      </c>
      <c r="G318" t="s">
        <v>13</v>
      </c>
      <c r="H318" t="s">
        <v>19</v>
      </c>
      <c r="I318" t="s">
        <v>31</v>
      </c>
    </row>
    <row r="319" spans="1:9" x14ac:dyDescent="0.35">
      <c r="A319">
        <v>318</v>
      </c>
      <c r="B319">
        <v>134</v>
      </c>
      <c r="C319">
        <v>1</v>
      </c>
      <c r="D319" s="1">
        <v>42036</v>
      </c>
      <c r="E319">
        <v>12.5</v>
      </c>
      <c r="F319">
        <v>12.5</v>
      </c>
      <c r="G319" t="s">
        <v>22</v>
      </c>
      <c r="H319" t="s">
        <v>16</v>
      </c>
      <c r="I319" t="s">
        <v>25</v>
      </c>
    </row>
    <row r="320" spans="1:9" x14ac:dyDescent="0.35">
      <c r="A320">
        <v>319</v>
      </c>
      <c r="B320">
        <v>135</v>
      </c>
      <c r="C320">
        <v>1</v>
      </c>
      <c r="D320" s="1">
        <v>42036</v>
      </c>
      <c r="E320">
        <v>20.25</v>
      </c>
      <c r="F320">
        <v>20.25</v>
      </c>
      <c r="G320" t="s">
        <v>13</v>
      </c>
      <c r="H320" t="s">
        <v>14</v>
      </c>
      <c r="I320" t="s">
        <v>30</v>
      </c>
    </row>
    <row r="321" spans="1:9" x14ac:dyDescent="0.35">
      <c r="A321">
        <v>320</v>
      </c>
      <c r="B321">
        <v>136</v>
      </c>
      <c r="C321">
        <v>1</v>
      </c>
      <c r="D321" s="1">
        <v>42036</v>
      </c>
      <c r="E321">
        <v>18.5</v>
      </c>
      <c r="F321">
        <v>18.5</v>
      </c>
      <c r="G321" t="s">
        <v>13</v>
      </c>
      <c r="H321" t="s">
        <v>14</v>
      </c>
      <c r="I321" t="s">
        <v>15</v>
      </c>
    </row>
    <row r="322" spans="1:9" x14ac:dyDescent="0.35">
      <c r="A322">
        <v>321</v>
      </c>
      <c r="B322">
        <v>136</v>
      </c>
      <c r="C322">
        <v>1</v>
      </c>
      <c r="D322" s="1">
        <v>42036</v>
      </c>
      <c r="E322">
        <v>12.5</v>
      </c>
      <c r="F322">
        <v>12.5</v>
      </c>
      <c r="G322" t="s">
        <v>22</v>
      </c>
      <c r="H322" t="s">
        <v>16</v>
      </c>
      <c r="I322" t="s">
        <v>42</v>
      </c>
    </row>
    <row r="323" spans="1:9" x14ac:dyDescent="0.35">
      <c r="A323">
        <v>322</v>
      </c>
      <c r="B323">
        <v>137</v>
      </c>
      <c r="C323">
        <v>1</v>
      </c>
      <c r="D323" s="1">
        <v>42064</v>
      </c>
      <c r="E323">
        <v>20.25</v>
      </c>
      <c r="F323">
        <v>20.25</v>
      </c>
      <c r="G323" t="s">
        <v>13</v>
      </c>
      <c r="H323" t="s">
        <v>14</v>
      </c>
      <c r="I323" t="s">
        <v>41</v>
      </c>
    </row>
    <row r="324" spans="1:9" x14ac:dyDescent="0.35">
      <c r="A324">
        <v>323</v>
      </c>
      <c r="B324">
        <v>137</v>
      </c>
      <c r="C324">
        <v>1</v>
      </c>
      <c r="D324" s="1">
        <v>42064</v>
      </c>
      <c r="E324">
        <v>9.75</v>
      </c>
      <c r="F324">
        <v>9.75</v>
      </c>
      <c r="G324" t="s">
        <v>22</v>
      </c>
      <c r="H324" t="s">
        <v>10</v>
      </c>
      <c r="I324" t="s">
        <v>33</v>
      </c>
    </row>
    <row r="325" spans="1:9" x14ac:dyDescent="0.35">
      <c r="A325">
        <v>324</v>
      </c>
      <c r="B325">
        <v>137</v>
      </c>
      <c r="C325">
        <v>1</v>
      </c>
      <c r="D325" s="1">
        <v>42064</v>
      </c>
      <c r="E325">
        <v>16.5</v>
      </c>
      <c r="F325">
        <v>16.5</v>
      </c>
      <c r="G325" t="s">
        <v>9</v>
      </c>
      <c r="H325" t="s">
        <v>16</v>
      </c>
      <c r="I325" t="s">
        <v>28</v>
      </c>
    </row>
    <row r="326" spans="1:9" x14ac:dyDescent="0.35">
      <c r="A326">
        <v>325</v>
      </c>
      <c r="B326">
        <v>138</v>
      </c>
      <c r="C326">
        <v>1</v>
      </c>
      <c r="D326" s="1">
        <v>42064</v>
      </c>
      <c r="E326">
        <v>16.75</v>
      </c>
      <c r="F326">
        <v>16.75</v>
      </c>
      <c r="G326" t="s">
        <v>9</v>
      </c>
      <c r="H326" t="s">
        <v>19</v>
      </c>
      <c r="I326" t="s">
        <v>32</v>
      </c>
    </row>
    <row r="327" spans="1:9" x14ac:dyDescent="0.35">
      <c r="A327">
        <v>326</v>
      </c>
      <c r="B327">
        <v>138</v>
      </c>
      <c r="C327">
        <v>1</v>
      </c>
      <c r="D327" s="1">
        <v>42064</v>
      </c>
      <c r="E327">
        <v>17.95</v>
      </c>
      <c r="F327">
        <v>17.95</v>
      </c>
      <c r="G327" t="s">
        <v>13</v>
      </c>
      <c r="H327" t="s">
        <v>14</v>
      </c>
      <c r="I327" t="s">
        <v>37</v>
      </c>
    </row>
    <row r="328" spans="1:9" x14ac:dyDescent="0.35">
      <c r="A328">
        <v>327</v>
      </c>
      <c r="B328">
        <v>138</v>
      </c>
      <c r="C328">
        <v>1</v>
      </c>
      <c r="D328" s="1">
        <v>42064</v>
      </c>
      <c r="E328">
        <v>21</v>
      </c>
      <c r="F328">
        <v>21</v>
      </c>
      <c r="G328" t="s">
        <v>13</v>
      </c>
      <c r="H328" t="s">
        <v>14</v>
      </c>
      <c r="I328" t="s">
        <v>40</v>
      </c>
    </row>
    <row r="329" spans="1:9" x14ac:dyDescent="0.35">
      <c r="A329">
        <v>328</v>
      </c>
      <c r="B329">
        <v>138</v>
      </c>
      <c r="C329">
        <v>1</v>
      </c>
      <c r="D329" s="1">
        <v>42064</v>
      </c>
      <c r="E329">
        <v>16.25</v>
      </c>
      <c r="F329">
        <v>16.25</v>
      </c>
      <c r="G329" t="s">
        <v>9</v>
      </c>
      <c r="H329" t="s">
        <v>16</v>
      </c>
      <c r="I329" t="s">
        <v>44</v>
      </c>
    </row>
    <row r="330" spans="1:9" x14ac:dyDescent="0.35">
      <c r="A330">
        <v>329</v>
      </c>
      <c r="B330">
        <v>139</v>
      </c>
      <c r="C330">
        <v>1</v>
      </c>
      <c r="D330" s="1">
        <v>42064</v>
      </c>
      <c r="E330">
        <v>18.5</v>
      </c>
      <c r="F330">
        <v>18.5</v>
      </c>
      <c r="G330" t="s">
        <v>13</v>
      </c>
      <c r="H330" t="s">
        <v>14</v>
      </c>
      <c r="I330" t="s">
        <v>15</v>
      </c>
    </row>
    <row r="331" spans="1:9" x14ac:dyDescent="0.35">
      <c r="A331">
        <v>330</v>
      </c>
      <c r="B331">
        <v>140</v>
      </c>
      <c r="C331">
        <v>1</v>
      </c>
      <c r="D331" s="1">
        <v>42064</v>
      </c>
      <c r="E331">
        <v>12.5</v>
      </c>
      <c r="F331">
        <v>12.5</v>
      </c>
      <c r="G331" t="s">
        <v>22</v>
      </c>
      <c r="H331" t="s">
        <v>16</v>
      </c>
      <c r="I331" t="s">
        <v>21</v>
      </c>
    </row>
    <row r="332" spans="1:9" x14ac:dyDescent="0.35">
      <c r="A332">
        <v>331</v>
      </c>
      <c r="B332">
        <v>140</v>
      </c>
      <c r="C332">
        <v>1</v>
      </c>
      <c r="D332" s="1">
        <v>42064</v>
      </c>
      <c r="E332">
        <v>16</v>
      </c>
      <c r="F332">
        <v>16</v>
      </c>
      <c r="G332" t="s">
        <v>9</v>
      </c>
      <c r="H332" t="s">
        <v>14</v>
      </c>
      <c r="I332" t="s">
        <v>30</v>
      </c>
    </row>
    <row r="333" spans="1:9" x14ac:dyDescent="0.35">
      <c r="A333">
        <v>332</v>
      </c>
      <c r="B333">
        <v>141</v>
      </c>
      <c r="C333">
        <v>1</v>
      </c>
      <c r="D333" s="1">
        <v>42064</v>
      </c>
      <c r="E333">
        <v>16</v>
      </c>
      <c r="F333">
        <v>16</v>
      </c>
      <c r="G333" t="s">
        <v>9</v>
      </c>
      <c r="H333" t="s">
        <v>10</v>
      </c>
      <c r="I333" t="s">
        <v>12</v>
      </c>
    </row>
    <row r="334" spans="1:9" x14ac:dyDescent="0.35">
      <c r="A334">
        <v>333</v>
      </c>
      <c r="B334">
        <v>142</v>
      </c>
      <c r="C334">
        <v>1</v>
      </c>
      <c r="D334" s="1">
        <v>42064</v>
      </c>
      <c r="E334">
        <v>16</v>
      </c>
      <c r="F334">
        <v>16</v>
      </c>
      <c r="G334" t="s">
        <v>9</v>
      </c>
      <c r="H334" t="s">
        <v>14</v>
      </c>
      <c r="I334" t="s">
        <v>26</v>
      </c>
    </row>
    <row r="335" spans="1:9" x14ac:dyDescent="0.35">
      <c r="A335">
        <v>334</v>
      </c>
      <c r="B335">
        <v>143</v>
      </c>
      <c r="C335">
        <v>1</v>
      </c>
      <c r="D335" s="1">
        <v>42064</v>
      </c>
      <c r="E335">
        <v>12.75</v>
      </c>
      <c r="F335">
        <v>12.75</v>
      </c>
      <c r="G335" t="s">
        <v>22</v>
      </c>
      <c r="H335" t="s">
        <v>19</v>
      </c>
      <c r="I335" t="s">
        <v>32</v>
      </c>
    </row>
    <row r="336" spans="1:9" x14ac:dyDescent="0.35">
      <c r="A336">
        <v>335</v>
      </c>
      <c r="B336">
        <v>143</v>
      </c>
      <c r="C336">
        <v>1</v>
      </c>
      <c r="D336" s="1">
        <v>42064</v>
      </c>
      <c r="E336">
        <v>12</v>
      </c>
      <c r="F336">
        <v>12</v>
      </c>
      <c r="G336" t="s">
        <v>22</v>
      </c>
      <c r="H336" t="s">
        <v>10</v>
      </c>
      <c r="I336" t="s">
        <v>12</v>
      </c>
    </row>
    <row r="337" spans="1:9" x14ac:dyDescent="0.35">
      <c r="A337">
        <v>336</v>
      </c>
      <c r="B337">
        <v>143</v>
      </c>
      <c r="C337">
        <v>1</v>
      </c>
      <c r="D337" s="1">
        <v>42064</v>
      </c>
      <c r="E337">
        <v>16.5</v>
      </c>
      <c r="F337">
        <v>16.5</v>
      </c>
      <c r="G337" t="s">
        <v>13</v>
      </c>
      <c r="H337" t="s">
        <v>10</v>
      </c>
      <c r="I337" t="s">
        <v>11</v>
      </c>
    </row>
    <row r="338" spans="1:9" x14ac:dyDescent="0.35">
      <c r="A338">
        <v>337</v>
      </c>
      <c r="B338">
        <v>143</v>
      </c>
      <c r="C338">
        <v>1</v>
      </c>
      <c r="D338" s="1">
        <v>42064</v>
      </c>
      <c r="E338">
        <v>16</v>
      </c>
      <c r="F338">
        <v>16</v>
      </c>
      <c r="G338" t="s">
        <v>9</v>
      </c>
      <c r="H338" t="s">
        <v>14</v>
      </c>
      <c r="I338" t="s">
        <v>18</v>
      </c>
    </row>
    <row r="339" spans="1:9" x14ac:dyDescent="0.35">
      <c r="A339">
        <v>338</v>
      </c>
      <c r="B339">
        <v>143</v>
      </c>
      <c r="C339">
        <v>1</v>
      </c>
      <c r="D339" s="1">
        <v>42064</v>
      </c>
      <c r="E339">
        <v>15.25</v>
      </c>
      <c r="F339">
        <v>15.25</v>
      </c>
      <c r="G339" t="s">
        <v>13</v>
      </c>
      <c r="H339" t="s">
        <v>10</v>
      </c>
      <c r="I339" t="s">
        <v>33</v>
      </c>
    </row>
    <row r="340" spans="1:9" x14ac:dyDescent="0.35">
      <c r="A340">
        <v>339</v>
      </c>
      <c r="B340">
        <v>143</v>
      </c>
      <c r="C340">
        <v>1</v>
      </c>
      <c r="D340" s="1">
        <v>42064</v>
      </c>
      <c r="E340">
        <v>12.5</v>
      </c>
      <c r="F340">
        <v>12.5</v>
      </c>
      <c r="G340" t="s">
        <v>22</v>
      </c>
      <c r="H340" t="s">
        <v>16</v>
      </c>
      <c r="I340" t="s">
        <v>21</v>
      </c>
    </row>
    <row r="341" spans="1:9" x14ac:dyDescent="0.35">
      <c r="A341">
        <v>340</v>
      </c>
      <c r="B341">
        <v>143</v>
      </c>
      <c r="C341">
        <v>1</v>
      </c>
      <c r="D341" s="1">
        <v>42064</v>
      </c>
      <c r="E341">
        <v>20.75</v>
      </c>
      <c r="F341">
        <v>20.75</v>
      </c>
      <c r="G341" t="s">
        <v>13</v>
      </c>
      <c r="H341" t="s">
        <v>19</v>
      </c>
      <c r="I341" t="s">
        <v>20</v>
      </c>
    </row>
    <row r="342" spans="1:9" x14ac:dyDescent="0.35">
      <c r="A342">
        <v>341</v>
      </c>
      <c r="B342">
        <v>143</v>
      </c>
      <c r="C342">
        <v>1</v>
      </c>
      <c r="D342" s="1">
        <v>42064</v>
      </c>
      <c r="E342">
        <v>16</v>
      </c>
      <c r="F342">
        <v>16</v>
      </c>
      <c r="G342" t="s">
        <v>9</v>
      </c>
      <c r="H342" t="s">
        <v>14</v>
      </c>
      <c r="I342" t="s">
        <v>30</v>
      </c>
    </row>
    <row r="343" spans="1:9" x14ac:dyDescent="0.35">
      <c r="A343">
        <v>342</v>
      </c>
      <c r="B343">
        <v>144</v>
      </c>
      <c r="C343">
        <v>3</v>
      </c>
      <c r="D343" s="1">
        <v>42064</v>
      </c>
      <c r="E343">
        <v>16.75</v>
      </c>
      <c r="F343">
        <v>50.25</v>
      </c>
      <c r="G343" t="s">
        <v>9</v>
      </c>
      <c r="H343" t="s">
        <v>19</v>
      </c>
      <c r="I343" t="s">
        <v>23</v>
      </c>
    </row>
    <row r="344" spans="1:9" x14ac:dyDescent="0.35">
      <c r="A344">
        <v>343</v>
      </c>
      <c r="B344">
        <v>144</v>
      </c>
      <c r="C344">
        <v>1</v>
      </c>
      <c r="D344" s="1">
        <v>42064</v>
      </c>
      <c r="E344">
        <v>12</v>
      </c>
      <c r="F344">
        <v>12</v>
      </c>
      <c r="G344" t="s">
        <v>22</v>
      </c>
      <c r="H344" t="s">
        <v>10</v>
      </c>
      <c r="I344" t="s">
        <v>35</v>
      </c>
    </row>
    <row r="345" spans="1:9" x14ac:dyDescent="0.35">
      <c r="A345">
        <v>344</v>
      </c>
      <c r="B345">
        <v>144</v>
      </c>
      <c r="C345">
        <v>1</v>
      </c>
      <c r="D345" s="1">
        <v>42064</v>
      </c>
      <c r="E345">
        <v>20.75</v>
      </c>
      <c r="F345">
        <v>20.75</v>
      </c>
      <c r="G345" t="s">
        <v>13</v>
      </c>
      <c r="H345" t="s">
        <v>19</v>
      </c>
      <c r="I345" t="s">
        <v>32</v>
      </c>
    </row>
    <row r="346" spans="1:9" x14ac:dyDescent="0.35">
      <c r="A346">
        <v>345</v>
      </c>
      <c r="B346">
        <v>144</v>
      </c>
      <c r="C346">
        <v>1</v>
      </c>
      <c r="D346" s="1">
        <v>42064</v>
      </c>
      <c r="E346">
        <v>16.75</v>
      </c>
      <c r="F346">
        <v>16.75</v>
      </c>
      <c r="G346" t="s">
        <v>9</v>
      </c>
      <c r="H346" t="s">
        <v>19</v>
      </c>
      <c r="I346" t="s">
        <v>34</v>
      </c>
    </row>
    <row r="347" spans="1:9" x14ac:dyDescent="0.35">
      <c r="A347">
        <v>346</v>
      </c>
      <c r="B347">
        <v>144</v>
      </c>
      <c r="C347">
        <v>1</v>
      </c>
      <c r="D347" s="1">
        <v>42064</v>
      </c>
      <c r="E347">
        <v>18.5</v>
      </c>
      <c r="F347">
        <v>18.5</v>
      </c>
      <c r="G347" t="s">
        <v>13</v>
      </c>
      <c r="H347" t="s">
        <v>14</v>
      </c>
      <c r="I347" t="s">
        <v>15</v>
      </c>
    </row>
    <row r="348" spans="1:9" x14ac:dyDescent="0.35">
      <c r="A348">
        <v>347</v>
      </c>
      <c r="B348">
        <v>144</v>
      </c>
      <c r="C348">
        <v>1</v>
      </c>
      <c r="D348" s="1">
        <v>42064</v>
      </c>
      <c r="E348">
        <v>17.95</v>
      </c>
      <c r="F348">
        <v>17.95</v>
      </c>
      <c r="G348" t="s">
        <v>13</v>
      </c>
      <c r="H348" t="s">
        <v>14</v>
      </c>
      <c r="I348" t="s">
        <v>37</v>
      </c>
    </row>
    <row r="349" spans="1:9" x14ac:dyDescent="0.35">
      <c r="A349">
        <v>348</v>
      </c>
      <c r="B349">
        <v>144</v>
      </c>
      <c r="C349">
        <v>1</v>
      </c>
      <c r="D349" s="1">
        <v>42064</v>
      </c>
      <c r="E349">
        <v>11</v>
      </c>
      <c r="F349">
        <v>11</v>
      </c>
      <c r="G349" t="s">
        <v>22</v>
      </c>
      <c r="H349" t="s">
        <v>10</v>
      </c>
      <c r="I349" t="s">
        <v>46</v>
      </c>
    </row>
    <row r="350" spans="1:9" x14ac:dyDescent="0.35">
      <c r="A350">
        <v>349</v>
      </c>
      <c r="B350">
        <v>144</v>
      </c>
      <c r="C350">
        <v>1</v>
      </c>
      <c r="D350" s="1">
        <v>42064</v>
      </c>
      <c r="E350">
        <v>20.75</v>
      </c>
      <c r="F350">
        <v>20.75</v>
      </c>
      <c r="G350" t="s">
        <v>13</v>
      </c>
      <c r="H350" t="s">
        <v>19</v>
      </c>
      <c r="I350" t="s">
        <v>31</v>
      </c>
    </row>
    <row r="351" spans="1:9" x14ac:dyDescent="0.35">
      <c r="A351">
        <v>350</v>
      </c>
      <c r="B351">
        <v>144</v>
      </c>
      <c r="C351">
        <v>1</v>
      </c>
      <c r="D351" s="1">
        <v>42064</v>
      </c>
      <c r="E351">
        <v>12.75</v>
      </c>
      <c r="F351">
        <v>12.75</v>
      </c>
      <c r="G351" t="s">
        <v>22</v>
      </c>
      <c r="H351" t="s">
        <v>19</v>
      </c>
      <c r="I351" t="s">
        <v>31</v>
      </c>
    </row>
    <row r="352" spans="1:9" x14ac:dyDescent="0.35">
      <c r="A352">
        <v>351</v>
      </c>
      <c r="B352">
        <v>144</v>
      </c>
      <c r="C352">
        <v>1</v>
      </c>
      <c r="D352" s="1">
        <v>42064</v>
      </c>
      <c r="E352">
        <v>20.75</v>
      </c>
      <c r="F352">
        <v>20.75</v>
      </c>
      <c r="G352" t="s">
        <v>13</v>
      </c>
      <c r="H352" t="s">
        <v>16</v>
      </c>
      <c r="I352" t="s">
        <v>28</v>
      </c>
    </row>
    <row r="353" spans="1:9" x14ac:dyDescent="0.35">
      <c r="A353">
        <v>352</v>
      </c>
      <c r="B353">
        <v>144</v>
      </c>
      <c r="C353">
        <v>1</v>
      </c>
      <c r="D353" s="1">
        <v>42064</v>
      </c>
      <c r="E353">
        <v>16.75</v>
      </c>
      <c r="F353">
        <v>16.75</v>
      </c>
      <c r="G353" t="s">
        <v>9</v>
      </c>
      <c r="H353" t="s">
        <v>19</v>
      </c>
      <c r="I353" t="s">
        <v>20</v>
      </c>
    </row>
    <row r="354" spans="1:9" x14ac:dyDescent="0.35">
      <c r="A354">
        <v>353</v>
      </c>
      <c r="B354">
        <v>144</v>
      </c>
      <c r="C354">
        <v>1</v>
      </c>
      <c r="D354" s="1">
        <v>42064</v>
      </c>
      <c r="E354">
        <v>20.25</v>
      </c>
      <c r="F354">
        <v>20.25</v>
      </c>
      <c r="G354" t="s">
        <v>13</v>
      </c>
      <c r="H354" t="s">
        <v>14</v>
      </c>
      <c r="I354" t="s">
        <v>30</v>
      </c>
    </row>
    <row r="355" spans="1:9" x14ac:dyDescent="0.35">
      <c r="A355">
        <v>354</v>
      </c>
      <c r="B355">
        <v>145</v>
      </c>
      <c r="C355">
        <v>1</v>
      </c>
      <c r="D355" s="1">
        <v>42064</v>
      </c>
      <c r="E355">
        <v>12</v>
      </c>
      <c r="F355">
        <v>12</v>
      </c>
      <c r="G355" t="s">
        <v>22</v>
      </c>
      <c r="H355" t="s">
        <v>10</v>
      </c>
      <c r="I355" t="s">
        <v>24</v>
      </c>
    </row>
    <row r="356" spans="1:9" x14ac:dyDescent="0.35">
      <c r="A356">
        <v>355</v>
      </c>
      <c r="B356">
        <v>146</v>
      </c>
      <c r="C356">
        <v>1</v>
      </c>
      <c r="D356" s="1">
        <v>42064</v>
      </c>
      <c r="E356">
        <v>20.75</v>
      </c>
      <c r="F356">
        <v>20.75</v>
      </c>
      <c r="G356" t="s">
        <v>13</v>
      </c>
      <c r="H356" t="s">
        <v>19</v>
      </c>
      <c r="I356" t="s">
        <v>32</v>
      </c>
    </row>
    <row r="357" spans="1:9" x14ac:dyDescent="0.35">
      <c r="A357">
        <v>356</v>
      </c>
      <c r="B357">
        <v>146</v>
      </c>
      <c r="C357">
        <v>1</v>
      </c>
      <c r="D357" s="1">
        <v>42064</v>
      </c>
      <c r="E357">
        <v>14.75</v>
      </c>
      <c r="F357">
        <v>14.75</v>
      </c>
      <c r="G357" t="s">
        <v>9</v>
      </c>
      <c r="H357" t="s">
        <v>14</v>
      </c>
      <c r="I357" t="s">
        <v>37</v>
      </c>
    </row>
    <row r="358" spans="1:9" x14ac:dyDescent="0.35">
      <c r="A358">
        <v>357</v>
      </c>
      <c r="B358">
        <v>146</v>
      </c>
      <c r="C358">
        <v>1</v>
      </c>
      <c r="D358" s="1">
        <v>42064</v>
      </c>
      <c r="E358">
        <v>13.25</v>
      </c>
      <c r="F358">
        <v>13.25</v>
      </c>
      <c r="G358" t="s">
        <v>9</v>
      </c>
      <c r="H358" t="s">
        <v>10</v>
      </c>
      <c r="I358" t="s">
        <v>11</v>
      </c>
    </row>
    <row r="359" spans="1:9" x14ac:dyDescent="0.35">
      <c r="A359">
        <v>358</v>
      </c>
      <c r="B359">
        <v>147</v>
      </c>
      <c r="C359">
        <v>1</v>
      </c>
      <c r="D359" s="1">
        <v>42064</v>
      </c>
      <c r="E359">
        <v>25.5</v>
      </c>
      <c r="F359">
        <v>25.5</v>
      </c>
      <c r="G359" t="s">
        <v>47</v>
      </c>
      <c r="H359" t="s">
        <v>10</v>
      </c>
      <c r="I359" t="s">
        <v>24</v>
      </c>
    </row>
    <row r="360" spans="1:9" x14ac:dyDescent="0.35">
      <c r="A360">
        <v>359</v>
      </c>
      <c r="B360">
        <v>148</v>
      </c>
      <c r="C360">
        <v>1</v>
      </c>
      <c r="D360" s="1">
        <v>42064</v>
      </c>
      <c r="E360">
        <v>12</v>
      </c>
      <c r="F360">
        <v>12</v>
      </c>
      <c r="G360" t="s">
        <v>22</v>
      </c>
      <c r="H360" t="s">
        <v>14</v>
      </c>
      <c r="I360" t="s">
        <v>41</v>
      </c>
    </row>
    <row r="361" spans="1:9" x14ac:dyDescent="0.35">
      <c r="A361">
        <v>360</v>
      </c>
      <c r="B361">
        <v>149</v>
      </c>
      <c r="C361">
        <v>1</v>
      </c>
      <c r="D361" s="1">
        <v>42064</v>
      </c>
      <c r="E361">
        <v>16</v>
      </c>
      <c r="F361">
        <v>16</v>
      </c>
      <c r="G361" t="s">
        <v>9</v>
      </c>
      <c r="H361" t="s">
        <v>14</v>
      </c>
      <c r="I361" t="s">
        <v>43</v>
      </c>
    </row>
    <row r="362" spans="1:9" x14ac:dyDescent="0.35">
      <c r="A362">
        <v>361</v>
      </c>
      <c r="B362">
        <v>150</v>
      </c>
      <c r="C362">
        <v>1</v>
      </c>
      <c r="D362" s="1">
        <v>42064</v>
      </c>
      <c r="E362">
        <v>12.5</v>
      </c>
      <c r="F362">
        <v>12.5</v>
      </c>
      <c r="G362" t="s">
        <v>9</v>
      </c>
      <c r="H362" t="s">
        <v>10</v>
      </c>
      <c r="I362" t="s">
        <v>33</v>
      </c>
    </row>
    <row r="363" spans="1:9" x14ac:dyDescent="0.35">
      <c r="A363">
        <v>362</v>
      </c>
      <c r="B363">
        <v>151</v>
      </c>
      <c r="C363">
        <v>1</v>
      </c>
      <c r="D363" s="1">
        <v>42064</v>
      </c>
      <c r="E363">
        <v>20.75</v>
      </c>
      <c r="F363">
        <v>20.75</v>
      </c>
      <c r="G363" t="s">
        <v>13</v>
      </c>
      <c r="H363" t="s">
        <v>19</v>
      </c>
      <c r="I363" t="s">
        <v>31</v>
      </c>
    </row>
    <row r="364" spans="1:9" x14ac:dyDescent="0.35">
      <c r="A364">
        <v>363</v>
      </c>
      <c r="B364">
        <v>151</v>
      </c>
      <c r="C364">
        <v>1</v>
      </c>
      <c r="D364" s="1">
        <v>42064</v>
      </c>
      <c r="E364">
        <v>12.5</v>
      </c>
      <c r="F364">
        <v>12.5</v>
      </c>
      <c r="G364" t="s">
        <v>22</v>
      </c>
      <c r="H364" t="s">
        <v>16</v>
      </c>
      <c r="I364" t="s">
        <v>25</v>
      </c>
    </row>
    <row r="365" spans="1:9" x14ac:dyDescent="0.35">
      <c r="A365">
        <v>364</v>
      </c>
      <c r="B365">
        <v>152</v>
      </c>
      <c r="C365">
        <v>1</v>
      </c>
      <c r="D365" s="1">
        <v>42064</v>
      </c>
      <c r="E365">
        <v>10.5</v>
      </c>
      <c r="F365">
        <v>10.5</v>
      </c>
      <c r="G365" t="s">
        <v>22</v>
      </c>
      <c r="H365" t="s">
        <v>10</v>
      </c>
      <c r="I365" t="s">
        <v>11</v>
      </c>
    </row>
    <row r="366" spans="1:9" x14ac:dyDescent="0.35">
      <c r="A366">
        <v>365</v>
      </c>
      <c r="B366">
        <v>152</v>
      </c>
      <c r="C366">
        <v>1</v>
      </c>
      <c r="D366" s="1">
        <v>42064</v>
      </c>
      <c r="E366">
        <v>20.25</v>
      </c>
      <c r="F366">
        <v>20.25</v>
      </c>
      <c r="G366" t="s">
        <v>13</v>
      </c>
      <c r="H366" t="s">
        <v>14</v>
      </c>
      <c r="I366" t="s">
        <v>43</v>
      </c>
    </row>
    <row r="367" spans="1:9" x14ac:dyDescent="0.35">
      <c r="A367">
        <v>366</v>
      </c>
      <c r="B367">
        <v>152</v>
      </c>
      <c r="C367">
        <v>1</v>
      </c>
      <c r="D367" s="1">
        <v>42064</v>
      </c>
      <c r="E367">
        <v>12.75</v>
      </c>
      <c r="F367">
        <v>12.75</v>
      </c>
      <c r="G367" t="s">
        <v>22</v>
      </c>
      <c r="H367" t="s">
        <v>19</v>
      </c>
      <c r="I367" t="s">
        <v>20</v>
      </c>
    </row>
    <row r="368" spans="1:9" x14ac:dyDescent="0.35">
      <c r="A368">
        <v>367</v>
      </c>
      <c r="B368">
        <v>152</v>
      </c>
      <c r="C368">
        <v>1</v>
      </c>
      <c r="D368" s="1">
        <v>42064</v>
      </c>
      <c r="E368">
        <v>16</v>
      </c>
      <c r="F368">
        <v>16</v>
      </c>
      <c r="G368" t="s">
        <v>9</v>
      </c>
      <c r="H368" t="s">
        <v>10</v>
      </c>
      <c r="I368" t="s">
        <v>24</v>
      </c>
    </row>
    <row r="369" spans="1:9" x14ac:dyDescent="0.35">
      <c r="A369">
        <v>368</v>
      </c>
      <c r="B369">
        <v>153</v>
      </c>
      <c r="C369">
        <v>1</v>
      </c>
      <c r="D369" s="1">
        <v>42064</v>
      </c>
      <c r="E369">
        <v>16</v>
      </c>
      <c r="F369">
        <v>16</v>
      </c>
      <c r="G369" t="s">
        <v>9</v>
      </c>
      <c r="H369" t="s">
        <v>14</v>
      </c>
      <c r="I369" t="s">
        <v>18</v>
      </c>
    </row>
    <row r="370" spans="1:9" x14ac:dyDescent="0.35">
      <c r="A370">
        <v>369</v>
      </c>
      <c r="B370">
        <v>154</v>
      </c>
      <c r="C370">
        <v>1</v>
      </c>
      <c r="D370" s="1">
        <v>42064</v>
      </c>
      <c r="E370">
        <v>12.5</v>
      </c>
      <c r="F370">
        <v>12.5</v>
      </c>
      <c r="G370" t="s">
        <v>22</v>
      </c>
      <c r="H370" t="s">
        <v>16</v>
      </c>
      <c r="I370" t="s">
        <v>21</v>
      </c>
    </row>
    <row r="371" spans="1:9" x14ac:dyDescent="0.35">
      <c r="A371">
        <v>370</v>
      </c>
      <c r="B371">
        <v>155</v>
      </c>
      <c r="C371">
        <v>1</v>
      </c>
      <c r="D371" s="1">
        <v>42064</v>
      </c>
      <c r="E371">
        <v>12.75</v>
      </c>
      <c r="F371">
        <v>12.75</v>
      </c>
      <c r="G371" t="s">
        <v>22</v>
      </c>
      <c r="H371" t="s">
        <v>19</v>
      </c>
      <c r="I371" t="s">
        <v>34</v>
      </c>
    </row>
    <row r="372" spans="1:9" x14ac:dyDescent="0.35">
      <c r="A372">
        <v>371</v>
      </c>
      <c r="B372">
        <v>155</v>
      </c>
      <c r="C372">
        <v>1</v>
      </c>
      <c r="D372" s="1">
        <v>42064</v>
      </c>
      <c r="E372">
        <v>20.5</v>
      </c>
      <c r="F372">
        <v>20.5</v>
      </c>
      <c r="G372" t="s">
        <v>13</v>
      </c>
      <c r="H372" t="s">
        <v>10</v>
      </c>
      <c r="I372" t="s">
        <v>38</v>
      </c>
    </row>
    <row r="373" spans="1:9" x14ac:dyDescent="0.35">
      <c r="A373">
        <v>372</v>
      </c>
      <c r="B373">
        <v>155</v>
      </c>
      <c r="C373">
        <v>1</v>
      </c>
      <c r="D373" s="1">
        <v>42064</v>
      </c>
      <c r="E373">
        <v>15.25</v>
      </c>
      <c r="F373">
        <v>15.25</v>
      </c>
      <c r="G373" t="s">
        <v>13</v>
      </c>
      <c r="H373" t="s">
        <v>10</v>
      </c>
      <c r="I373" t="s">
        <v>33</v>
      </c>
    </row>
    <row r="374" spans="1:9" x14ac:dyDescent="0.35">
      <c r="A374">
        <v>373</v>
      </c>
      <c r="B374">
        <v>155</v>
      </c>
      <c r="C374">
        <v>1</v>
      </c>
      <c r="D374" s="1">
        <v>42064</v>
      </c>
      <c r="E374">
        <v>20.75</v>
      </c>
      <c r="F374">
        <v>20.75</v>
      </c>
      <c r="G374" t="s">
        <v>13</v>
      </c>
      <c r="H374" t="s">
        <v>16</v>
      </c>
      <c r="I374" t="s">
        <v>42</v>
      </c>
    </row>
    <row r="375" spans="1:9" x14ac:dyDescent="0.35">
      <c r="A375">
        <v>374</v>
      </c>
      <c r="B375">
        <v>156</v>
      </c>
      <c r="C375">
        <v>1</v>
      </c>
      <c r="D375" s="1">
        <v>42064</v>
      </c>
      <c r="E375">
        <v>16</v>
      </c>
      <c r="F375">
        <v>16</v>
      </c>
      <c r="G375" t="s">
        <v>9</v>
      </c>
      <c r="H375" t="s">
        <v>10</v>
      </c>
      <c r="I375" t="s">
        <v>38</v>
      </c>
    </row>
    <row r="376" spans="1:9" x14ac:dyDescent="0.35">
      <c r="A376">
        <v>375</v>
      </c>
      <c r="B376">
        <v>156</v>
      </c>
      <c r="C376">
        <v>1</v>
      </c>
      <c r="D376" s="1">
        <v>42064</v>
      </c>
      <c r="E376">
        <v>20.75</v>
      </c>
      <c r="F376">
        <v>20.75</v>
      </c>
      <c r="G376" t="s">
        <v>13</v>
      </c>
      <c r="H376" t="s">
        <v>19</v>
      </c>
      <c r="I376" t="s">
        <v>20</v>
      </c>
    </row>
    <row r="377" spans="1:9" x14ac:dyDescent="0.35">
      <c r="A377">
        <v>376</v>
      </c>
      <c r="B377">
        <v>157</v>
      </c>
      <c r="C377">
        <v>1</v>
      </c>
      <c r="D377" s="1">
        <v>42064</v>
      </c>
      <c r="E377">
        <v>20.75</v>
      </c>
      <c r="F377">
        <v>20.75</v>
      </c>
      <c r="G377" t="s">
        <v>13</v>
      </c>
      <c r="H377" t="s">
        <v>16</v>
      </c>
      <c r="I377" t="s">
        <v>17</v>
      </c>
    </row>
    <row r="378" spans="1:9" x14ac:dyDescent="0.35">
      <c r="A378">
        <v>377</v>
      </c>
      <c r="B378">
        <v>157</v>
      </c>
      <c r="C378">
        <v>1</v>
      </c>
      <c r="D378" s="1">
        <v>42064</v>
      </c>
      <c r="E378">
        <v>16</v>
      </c>
      <c r="F378">
        <v>16</v>
      </c>
      <c r="G378" t="s">
        <v>9</v>
      </c>
      <c r="H378" t="s">
        <v>14</v>
      </c>
      <c r="I378" t="s">
        <v>41</v>
      </c>
    </row>
    <row r="379" spans="1:9" x14ac:dyDescent="0.35">
      <c r="A379">
        <v>378</v>
      </c>
      <c r="B379">
        <v>157</v>
      </c>
      <c r="C379">
        <v>1</v>
      </c>
      <c r="D379" s="1">
        <v>42064</v>
      </c>
      <c r="E379">
        <v>16.25</v>
      </c>
      <c r="F379">
        <v>16.25</v>
      </c>
      <c r="G379" t="s">
        <v>9</v>
      </c>
      <c r="H379" t="s">
        <v>16</v>
      </c>
      <c r="I379" t="s">
        <v>44</v>
      </c>
    </row>
    <row r="380" spans="1:9" x14ac:dyDescent="0.35">
      <c r="A380">
        <v>379</v>
      </c>
      <c r="B380">
        <v>157</v>
      </c>
      <c r="C380">
        <v>1</v>
      </c>
      <c r="D380" s="1">
        <v>42064</v>
      </c>
      <c r="E380">
        <v>16.5</v>
      </c>
      <c r="F380">
        <v>16.5</v>
      </c>
      <c r="G380" t="s">
        <v>9</v>
      </c>
      <c r="H380" t="s">
        <v>14</v>
      </c>
      <c r="I380" t="s">
        <v>29</v>
      </c>
    </row>
    <row r="381" spans="1:9" x14ac:dyDescent="0.35">
      <c r="A381">
        <v>380</v>
      </c>
      <c r="B381">
        <v>158</v>
      </c>
      <c r="C381">
        <v>1</v>
      </c>
      <c r="D381" s="1">
        <v>42064</v>
      </c>
      <c r="E381">
        <v>16.75</v>
      </c>
      <c r="F381">
        <v>16.75</v>
      </c>
      <c r="G381" t="s">
        <v>9</v>
      </c>
      <c r="H381" t="s">
        <v>14</v>
      </c>
      <c r="I381" t="s">
        <v>40</v>
      </c>
    </row>
    <row r="382" spans="1:9" x14ac:dyDescent="0.35">
      <c r="A382">
        <v>381</v>
      </c>
      <c r="B382">
        <v>158</v>
      </c>
      <c r="C382">
        <v>1</v>
      </c>
      <c r="D382" s="1">
        <v>42064</v>
      </c>
      <c r="E382">
        <v>16.75</v>
      </c>
      <c r="F382">
        <v>16.75</v>
      </c>
      <c r="G382" t="s">
        <v>9</v>
      </c>
      <c r="H382" t="s">
        <v>19</v>
      </c>
      <c r="I382" t="s">
        <v>20</v>
      </c>
    </row>
    <row r="383" spans="1:9" x14ac:dyDescent="0.35">
      <c r="A383">
        <v>382</v>
      </c>
      <c r="B383">
        <v>159</v>
      </c>
      <c r="C383">
        <v>1</v>
      </c>
      <c r="D383" s="1">
        <v>42064</v>
      </c>
      <c r="E383">
        <v>17.95</v>
      </c>
      <c r="F383">
        <v>17.95</v>
      </c>
      <c r="G383" t="s">
        <v>13</v>
      </c>
      <c r="H383" t="s">
        <v>14</v>
      </c>
      <c r="I383" t="s">
        <v>37</v>
      </c>
    </row>
    <row r="384" spans="1:9" x14ac:dyDescent="0.35">
      <c r="A384">
        <v>383</v>
      </c>
      <c r="B384">
        <v>159</v>
      </c>
      <c r="C384">
        <v>1</v>
      </c>
      <c r="D384" s="1">
        <v>42064</v>
      </c>
      <c r="E384">
        <v>16.75</v>
      </c>
      <c r="F384">
        <v>16.75</v>
      </c>
      <c r="G384" t="s">
        <v>9</v>
      </c>
      <c r="H384" t="s">
        <v>19</v>
      </c>
      <c r="I384" t="s">
        <v>20</v>
      </c>
    </row>
    <row r="385" spans="1:9" x14ac:dyDescent="0.35">
      <c r="A385">
        <v>384</v>
      </c>
      <c r="B385">
        <v>160</v>
      </c>
      <c r="C385">
        <v>1</v>
      </c>
      <c r="D385" s="1">
        <v>42064</v>
      </c>
      <c r="E385">
        <v>16</v>
      </c>
      <c r="F385">
        <v>16</v>
      </c>
      <c r="G385" t="s">
        <v>9</v>
      </c>
      <c r="H385" t="s">
        <v>10</v>
      </c>
      <c r="I385" t="s">
        <v>12</v>
      </c>
    </row>
    <row r="386" spans="1:9" x14ac:dyDescent="0.35">
      <c r="A386">
        <v>385</v>
      </c>
      <c r="B386">
        <v>161</v>
      </c>
      <c r="C386">
        <v>1</v>
      </c>
      <c r="D386" s="1">
        <v>42064</v>
      </c>
      <c r="E386">
        <v>10.5</v>
      </c>
      <c r="F386">
        <v>10.5</v>
      </c>
      <c r="G386" t="s">
        <v>22</v>
      </c>
      <c r="H386" t="s">
        <v>10</v>
      </c>
      <c r="I386" t="s">
        <v>11</v>
      </c>
    </row>
    <row r="387" spans="1:9" x14ac:dyDescent="0.35">
      <c r="A387">
        <v>386</v>
      </c>
      <c r="B387">
        <v>161</v>
      </c>
      <c r="C387">
        <v>1</v>
      </c>
      <c r="D387" s="1">
        <v>42064</v>
      </c>
      <c r="E387">
        <v>16.5</v>
      </c>
      <c r="F387">
        <v>16.5</v>
      </c>
      <c r="G387" t="s">
        <v>9</v>
      </c>
      <c r="H387" t="s">
        <v>16</v>
      </c>
      <c r="I387" t="s">
        <v>28</v>
      </c>
    </row>
    <row r="388" spans="1:9" x14ac:dyDescent="0.35">
      <c r="A388">
        <v>387</v>
      </c>
      <c r="B388">
        <v>161</v>
      </c>
      <c r="C388">
        <v>1</v>
      </c>
      <c r="D388" s="1">
        <v>42064</v>
      </c>
      <c r="E388">
        <v>25.5</v>
      </c>
      <c r="F388">
        <v>25.5</v>
      </c>
      <c r="G388" t="s">
        <v>47</v>
      </c>
      <c r="H388" t="s">
        <v>10</v>
      </c>
      <c r="I388" t="s">
        <v>24</v>
      </c>
    </row>
    <row r="389" spans="1:9" x14ac:dyDescent="0.35">
      <c r="A389">
        <v>388</v>
      </c>
      <c r="B389">
        <v>162</v>
      </c>
      <c r="C389">
        <v>1</v>
      </c>
      <c r="D389" s="1">
        <v>42064</v>
      </c>
      <c r="E389">
        <v>12</v>
      </c>
      <c r="F389">
        <v>12</v>
      </c>
      <c r="G389" t="s">
        <v>22</v>
      </c>
      <c r="H389" t="s">
        <v>10</v>
      </c>
      <c r="I389" t="s">
        <v>35</v>
      </c>
    </row>
    <row r="390" spans="1:9" x14ac:dyDescent="0.35">
      <c r="A390">
        <v>389</v>
      </c>
      <c r="B390">
        <v>163</v>
      </c>
      <c r="C390">
        <v>1</v>
      </c>
      <c r="D390" s="1">
        <v>42064</v>
      </c>
      <c r="E390">
        <v>13.25</v>
      </c>
      <c r="F390">
        <v>13.25</v>
      </c>
      <c r="G390" t="s">
        <v>9</v>
      </c>
      <c r="H390" t="s">
        <v>10</v>
      </c>
      <c r="I390" t="s">
        <v>11</v>
      </c>
    </row>
    <row r="391" spans="1:9" x14ac:dyDescent="0.35">
      <c r="A391">
        <v>390</v>
      </c>
      <c r="B391">
        <v>163</v>
      </c>
      <c r="C391">
        <v>1</v>
      </c>
      <c r="D391" s="1">
        <v>42064</v>
      </c>
      <c r="E391">
        <v>15.25</v>
      </c>
      <c r="F391">
        <v>15.25</v>
      </c>
      <c r="G391" t="s">
        <v>13</v>
      </c>
      <c r="H391" t="s">
        <v>10</v>
      </c>
      <c r="I391" t="s">
        <v>33</v>
      </c>
    </row>
    <row r="392" spans="1:9" x14ac:dyDescent="0.35">
      <c r="A392">
        <v>391</v>
      </c>
      <c r="B392">
        <v>163</v>
      </c>
      <c r="C392">
        <v>1</v>
      </c>
      <c r="D392" s="1">
        <v>42064</v>
      </c>
      <c r="E392">
        <v>16</v>
      </c>
      <c r="F392">
        <v>16</v>
      </c>
      <c r="G392" t="s">
        <v>9</v>
      </c>
      <c r="H392" t="s">
        <v>10</v>
      </c>
      <c r="I392" t="s">
        <v>24</v>
      </c>
    </row>
    <row r="393" spans="1:9" x14ac:dyDescent="0.35">
      <c r="A393">
        <v>392</v>
      </c>
      <c r="B393">
        <v>164</v>
      </c>
      <c r="C393">
        <v>1</v>
      </c>
      <c r="D393" s="1">
        <v>42064</v>
      </c>
      <c r="E393">
        <v>20.75</v>
      </c>
      <c r="F393">
        <v>20.75</v>
      </c>
      <c r="G393" t="s">
        <v>13</v>
      </c>
      <c r="H393" t="s">
        <v>19</v>
      </c>
      <c r="I393" t="s">
        <v>32</v>
      </c>
    </row>
    <row r="394" spans="1:9" x14ac:dyDescent="0.35">
      <c r="A394">
        <v>393</v>
      </c>
      <c r="B394">
        <v>164</v>
      </c>
      <c r="C394">
        <v>1</v>
      </c>
      <c r="D394" s="1">
        <v>42064</v>
      </c>
      <c r="E394">
        <v>12.5</v>
      </c>
      <c r="F394">
        <v>12.5</v>
      </c>
      <c r="G394" t="s">
        <v>9</v>
      </c>
      <c r="H394" t="s">
        <v>10</v>
      </c>
      <c r="I394" t="s">
        <v>33</v>
      </c>
    </row>
    <row r="395" spans="1:9" x14ac:dyDescent="0.35">
      <c r="A395">
        <v>394</v>
      </c>
      <c r="B395">
        <v>165</v>
      </c>
      <c r="C395">
        <v>1</v>
      </c>
      <c r="D395" s="1">
        <v>42064</v>
      </c>
      <c r="E395">
        <v>16.5</v>
      </c>
      <c r="F395">
        <v>16.5</v>
      </c>
      <c r="G395" t="s">
        <v>9</v>
      </c>
      <c r="H395" t="s">
        <v>16</v>
      </c>
      <c r="I395" t="s">
        <v>21</v>
      </c>
    </row>
    <row r="396" spans="1:9" x14ac:dyDescent="0.35">
      <c r="A396">
        <v>395</v>
      </c>
      <c r="B396">
        <v>166</v>
      </c>
      <c r="C396">
        <v>1</v>
      </c>
      <c r="D396" s="1">
        <v>42064</v>
      </c>
      <c r="E396">
        <v>12.5</v>
      </c>
      <c r="F396">
        <v>12.5</v>
      </c>
      <c r="G396" t="s">
        <v>22</v>
      </c>
      <c r="H396" t="s">
        <v>16</v>
      </c>
      <c r="I396" t="s">
        <v>21</v>
      </c>
    </row>
    <row r="397" spans="1:9" x14ac:dyDescent="0.35">
      <c r="A397">
        <v>396</v>
      </c>
      <c r="B397">
        <v>167</v>
      </c>
      <c r="C397">
        <v>1</v>
      </c>
      <c r="D397" s="1">
        <v>42064</v>
      </c>
      <c r="E397">
        <v>20.75</v>
      </c>
      <c r="F397">
        <v>20.75</v>
      </c>
      <c r="G397" t="s">
        <v>13</v>
      </c>
      <c r="H397" t="s">
        <v>19</v>
      </c>
      <c r="I397" t="s">
        <v>23</v>
      </c>
    </row>
    <row r="398" spans="1:9" x14ac:dyDescent="0.35">
      <c r="A398">
        <v>397</v>
      </c>
      <c r="B398">
        <v>167</v>
      </c>
      <c r="C398">
        <v>1</v>
      </c>
      <c r="D398" s="1">
        <v>42064</v>
      </c>
      <c r="E398">
        <v>16.5</v>
      </c>
      <c r="F398">
        <v>16.5</v>
      </c>
      <c r="G398" t="s">
        <v>9</v>
      </c>
      <c r="H398" t="s">
        <v>16</v>
      </c>
      <c r="I398" t="s">
        <v>17</v>
      </c>
    </row>
    <row r="399" spans="1:9" x14ac:dyDescent="0.35">
      <c r="A399">
        <v>398</v>
      </c>
      <c r="B399">
        <v>167</v>
      </c>
      <c r="C399">
        <v>1</v>
      </c>
      <c r="D399" s="1">
        <v>42064</v>
      </c>
      <c r="E399">
        <v>12.5</v>
      </c>
      <c r="F399">
        <v>12.5</v>
      </c>
      <c r="G399" t="s">
        <v>9</v>
      </c>
      <c r="H399" t="s">
        <v>10</v>
      </c>
      <c r="I399" t="s">
        <v>33</v>
      </c>
    </row>
    <row r="400" spans="1:9" x14ac:dyDescent="0.35">
      <c r="A400">
        <v>399</v>
      </c>
      <c r="B400">
        <v>168</v>
      </c>
      <c r="C400">
        <v>1</v>
      </c>
      <c r="D400" s="1">
        <v>42064</v>
      </c>
      <c r="E400">
        <v>12</v>
      </c>
      <c r="F400">
        <v>12</v>
      </c>
      <c r="G400" t="s">
        <v>22</v>
      </c>
      <c r="H400" t="s">
        <v>10</v>
      </c>
      <c r="I400" t="s">
        <v>35</v>
      </c>
    </row>
    <row r="401" spans="1:9" x14ac:dyDescent="0.35">
      <c r="A401">
        <v>400</v>
      </c>
      <c r="B401">
        <v>168</v>
      </c>
      <c r="C401">
        <v>1</v>
      </c>
      <c r="D401" s="1">
        <v>42064</v>
      </c>
      <c r="E401">
        <v>16</v>
      </c>
      <c r="F401">
        <v>16</v>
      </c>
      <c r="G401" t="s">
        <v>9</v>
      </c>
      <c r="H401" t="s">
        <v>14</v>
      </c>
      <c r="I401" t="s">
        <v>30</v>
      </c>
    </row>
    <row r="402" spans="1:9" x14ac:dyDescent="0.35">
      <c r="A402">
        <v>401</v>
      </c>
      <c r="B402">
        <v>169</v>
      </c>
      <c r="C402">
        <v>1</v>
      </c>
      <c r="D402" s="1">
        <v>42064</v>
      </c>
      <c r="E402">
        <v>17.95</v>
      </c>
      <c r="F402">
        <v>17.95</v>
      </c>
      <c r="G402" t="s">
        <v>13</v>
      </c>
      <c r="H402" t="s">
        <v>14</v>
      </c>
      <c r="I402" t="s">
        <v>37</v>
      </c>
    </row>
    <row r="403" spans="1:9" x14ac:dyDescent="0.35">
      <c r="A403">
        <v>402</v>
      </c>
      <c r="B403">
        <v>169</v>
      </c>
      <c r="C403">
        <v>1</v>
      </c>
      <c r="D403" s="1">
        <v>42064</v>
      </c>
      <c r="E403">
        <v>12</v>
      </c>
      <c r="F403">
        <v>12</v>
      </c>
      <c r="G403" t="s">
        <v>22</v>
      </c>
      <c r="H403" t="s">
        <v>10</v>
      </c>
      <c r="I403" t="s">
        <v>27</v>
      </c>
    </row>
    <row r="404" spans="1:9" x14ac:dyDescent="0.35">
      <c r="A404">
        <v>403</v>
      </c>
      <c r="B404">
        <v>169</v>
      </c>
      <c r="C404">
        <v>1</v>
      </c>
      <c r="D404" s="1">
        <v>42064</v>
      </c>
      <c r="E404">
        <v>16.25</v>
      </c>
      <c r="F404">
        <v>16.25</v>
      </c>
      <c r="G404" t="s">
        <v>9</v>
      </c>
      <c r="H404" t="s">
        <v>16</v>
      </c>
      <c r="I404" t="s">
        <v>44</v>
      </c>
    </row>
    <row r="405" spans="1:9" x14ac:dyDescent="0.35">
      <c r="A405">
        <v>404</v>
      </c>
      <c r="B405">
        <v>170</v>
      </c>
      <c r="C405">
        <v>1</v>
      </c>
      <c r="D405" s="1">
        <v>42064</v>
      </c>
      <c r="E405">
        <v>16.5</v>
      </c>
      <c r="F405">
        <v>16.5</v>
      </c>
      <c r="G405" t="s">
        <v>13</v>
      </c>
      <c r="H405" t="s">
        <v>10</v>
      </c>
      <c r="I405" t="s">
        <v>11</v>
      </c>
    </row>
    <row r="406" spans="1:9" x14ac:dyDescent="0.35">
      <c r="A406">
        <v>405</v>
      </c>
      <c r="B406">
        <v>171</v>
      </c>
      <c r="C406">
        <v>1</v>
      </c>
      <c r="D406" s="1">
        <v>42064</v>
      </c>
      <c r="E406">
        <v>16</v>
      </c>
      <c r="F406">
        <v>16</v>
      </c>
      <c r="G406" t="s">
        <v>9</v>
      </c>
      <c r="H406" t="s">
        <v>10</v>
      </c>
      <c r="I406" t="s">
        <v>38</v>
      </c>
    </row>
    <row r="407" spans="1:9" x14ac:dyDescent="0.35">
      <c r="A407">
        <v>406</v>
      </c>
      <c r="B407">
        <v>172</v>
      </c>
      <c r="C407">
        <v>1</v>
      </c>
      <c r="D407" s="1">
        <v>42064</v>
      </c>
      <c r="E407">
        <v>12</v>
      </c>
      <c r="F407">
        <v>12</v>
      </c>
      <c r="G407" t="s">
        <v>22</v>
      </c>
      <c r="H407" t="s">
        <v>10</v>
      </c>
      <c r="I407" t="s">
        <v>38</v>
      </c>
    </row>
    <row r="408" spans="1:9" x14ac:dyDescent="0.35">
      <c r="A408">
        <v>407</v>
      </c>
      <c r="B408">
        <v>172</v>
      </c>
      <c r="C408">
        <v>1</v>
      </c>
      <c r="D408" s="1">
        <v>42064</v>
      </c>
      <c r="E408">
        <v>16.5</v>
      </c>
      <c r="F408">
        <v>16.5</v>
      </c>
      <c r="G408" t="s">
        <v>9</v>
      </c>
      <c r="H408" t="s">
        <v>16</v>
      </c>
      <c r="I408" t="s">
        <v>25</v>
      </c>
    </row>
    <row r="409" spans="1:9" x14ac:dyDescent="0.35">
      <c r="A409">
        <v>408</v>
      </c>
      <c r="B409">
        <v>172</v>
      </c>
      <c r="C409">
        <v>1</v>
      </c>
      <c r="D409" s="1">
        <v>42064</v>
      </c>
      <c r="E409">
        <v>20.75</v>
      </c>
      <c r="F409">
        <v>20.75</v>
      </c>
      <c r="G409" t="s">
        <v>13</v>
      </c>
      <c r="H409" t="s">
        <v>19</v>
      </c>
      <c r="I409" t="s">
        <v>20</v>
      </c>
    </row>
    <row r="410" spans="1:9" x14ac:dyDescent="0.35">
      <c r="A410">
        <v>409</v>
      </c>
      <c r="B410">
        <v>173</v>
      </c>
      <c r="C410">
        <v>1</v>
      </c>
      <c r="D410" s="1">
        <v>42064</v>
      </c>
      <c r="E410">
        <v>16.75</v>
      </c>
      <c r="F410">
        <v>16.75</v>
      </c>
      <c r="G410" t="s">
        <v>9</v>
      </c>
      <c r="H410" t="s">
        <v>19</v>
      </c>
      <c r="I410" t="s">
        <v>32</v>
      </c>
    </row>
    <row r="411" spans="1:9" x14ac:dyDescent="0.35">
      <c r="A411">
        <v>410</v>
      </c>
      <c r="B411">
        <v>173</v>
      </c>
      <c r="C411">
        <v>1</v>
      </c>
      <c r="D411" s="1">
        <v>42064</v>
      </c>
      <c r="E411">
        <v>16</v>
      </c>
      <c r="F411">
        <v>16</v>
      </c>
      <c r="G411" t="s">
        <v>9</v>
      </c>
      <c r="H411" t="s">
        <v>10</v>
      </c>
      <c r="I411" t="s">
        <v>12</v>
      </c>
    </row>
    <row r="412" spans="1:9" x14ac:dyDescent="0.35">
      <c r="A412">
        <v>411</v>
      </c>
      <c r="B412">
        <v>173</v>
      </c>
      <c r="C412">
        <v>1</v>
      </c>
      <c r="D412" s="1">
        <v>42064</v>
      </c>
      <c r="E412">
        <v>20.25</v>
      </c>
      <c r="F412">
        <v>20.25</v>
      </c>
      <c r="G412" t="s">
        <v>13</v>
      </c>
      <c r="H412" t="s">
        <v>14</v>
      </c>
      <c r="I412" t="s">
        <v>30</v>
      </c>
    </row>
    <row r="413" spans="1:9" x14ac:dyDescent="0.35">
      <c r="A413">
        <v>412</v>
      </c>
      <c r="B413">
        <v>174</v>
      </c>
      <c r="C413">
        <v>1</v>
      </c>
      <c r="D413" s="1">
        <v>42064</v>
      </c>
      <c r="E413">
        <v>12</v>
      </c>
      <c r="F413">
        <v>12</v>
      </c>
      <c r="G413" t="s">
        <v>22</v>
      </c>
      <c r="H413" t="s">
        <v>10</v>
      </c>
      <c r="I413" t="s">
        <v>35</v>
      </c>
    </row>
    <row r="414" spans="1:9" x14ac:dyDescent="0.35">
      <c r="A414">
        <v>413</v>
      </c>
      <c r="B414">
        <v>174</v>
      </c>
      <c r="C414">
        <v>1</v>
      </c>
      <c r="D414" s="1">
        <v>42064</v>
      </c>
      <c r="E414">
        <v>20.75</v>
      </c>
      <c r="F414">
        <v>20.75</v>
      </c>
      <c r="G414" t="s">
        <v>13</v>
      </c>
      <c r="H414" t="s">
        <v>19</v>
      </c>
      <c r="I414" t="s">
        <v>32</v>
      </c>
    </row>
    <row r="415" spans="1:9" x14ac:dyDescent="0.35">
      <c r="A415">
        <v>414</v>
      </c>
      <c r="B415">
        <v>174</v>
      </c>
      <c r="C415">
        <v>1</v>
      </c>
      <c r="D415" s="1">
        <v>42064</v>
      </c>
      <c r="E415">
        <v>16.75</v>
      </c>
      <c r="F415">
        <v>16.75</v>
      </c>
      <c r="G415" t="s">
        <v>9</v>
      </c>
      <c r="H415" t="s">
        <v>19</v>
      </c>
      <c r="I415" t="s">
        <v>32</v>
      </c>
    </row>
    <row r="416" spans="1:9" x14ac:dyDescent="0.35">
      <c r="A416">
        <v>415</v>
      </c>
      <c r="B416">
        <v>174</v>
      </c>
      <c r="C416">
        <v>1</v>
      </c>
      <c r="D416" s="1">
        <v>42064</v>
      </c>
      <c r="E416">
        <v>16</v>
      </c>
      <c r="F416">
        <v>16</v>
      </c>
      <c r="G416" t="s">
        <v>9</v>
      </c>
      <c r="H416" t="s">
        <v>10</v>
      </c>
      <c r="I416" t="s">
        <v>27</v>
      </c>
    </row>
    <row r="417" spans="1:9" x14ac:dyDescent="0.35">
      <c r="A417">
        <v>416</v>
      </c>
      <c r="B417">
        <v>175</v>
      </c>
      <c r="C417">
        <v>1</v>
      </c>
      <c r="D417" s="1">
        <v>42064</v>
      </c>
      <c r="E417">
        <v>20.75</v>
      </c>
      <c r="F417">
        <v>20.75</v>
      </c>
      <c r="G417" t="s">
        <v>13</v>
      </c>
      <c r="H417" t="s">
        <v>16</v>
      </c>
      <c r="I417" t="s">
        <v>17</v>
      </c>
    </row>
    <row r="418" spans="1:9" x14ac:dyDescent="0.35">
      <c r="A418">
        <v>417</v>
      </c>
      <c r="B418">
        <v>176</v>
      </c>
      <c r="C418">
        <v>1</v>
      </c>
      <c r="D418" s="1">
        <v>42064</v>
      </c>
      <c r="E418">
        <v>20.75</v>
      </c>
      <c r="F418">
        <v>20.75</v>
      </c>
      <c r="G418" t="s">
        <v>13</v>
      </c>
      <c r="H418" t="s">
        <v>19</v>
      </c>
      <c r="I418" t="s">
        <v>32</v>
      </c>
    </row>
    <row r="419" spans="1:9" x14ac:dyDescent="0.35">
      <c r="A419">
        <v>418</v>
      </c>
      <c r="B419">
        <v>176</v>
      </c>
      <c r="C419">
        <v>1</v>
      </c>
      <c r="D419" s="1">
        <v>42064</v>
      </c>
      <c r="E419">
        <v>16.5</v>
      </c>
      <c r="F419">
        <v>16.5</v>
      </c>
      <c r="G419" t="s">
        <v>9</v>
      </c>
      <c r="H419" t="s">
        <v>16</v>
      </c>
      <c r="I419" t="s">
        <v>42</v>
      </c>
    </row>
    <row r="420" spans="1:9" x14ac:dyDescent="0.35">
      <c r="A420">
        <v>419</v>
      </c>
      <c r="B420">
        <v>177</v>
      </c>
      <c r="C420">
        <v>1</v>
      </c>
      <c r="D420" s="1">
        <v>42064</v>
      </c>
      <c r="E420">
        <v>12</v>
      </c>
      <c r="F420">
        <v>12</v>
      </c>
      <c r="G420" t="s">
        <v>22</v>
      </c>
      <c r="H420" t="s">
        <v>10</v>
      </c>
      <c r="I420" t="s">
        <v>38</v>
      </c>
    </row>
    <row r="421" spans="1:9" x14ac:dyDescent="0.35">
      <c r="A421">
        <v>420</v>
      </c>
      <c r="B421">
        <v>177</v>
      </c>
      <c r="C421">
        <v>1</v>
      </c>
      <c r="D421" s="1">
        <v>42064</v>
      </c>
      <c r="E421">
        <v>20.75</v>
      </c>
      <c r="F421">
        <v>20.75</v>
      </c>
      <c r="G421" t="s">
        <v>13</v>
      </c>
      <c r="H421" t="s">
        <v>19</v>
      </c>
      <c r="I421" t="s">
        <v>20</v>
      </c>
    </row>
    <row r="422" spans="1:9" x14ac:dyDescent="0.35">
      <c r="A422">
        <v>421</v>
      </c>
      <c r="B422">
        <v>178</v>
      </c>
      <c r="C422">
        <v>1</v>
      </c>
      <c r="D422" s="1">
        <v>42064</v>
      </c>
      <c r="E422">
        <v>20.75</v>
      </c>
      <c r="F422">
        <v>20.75</v>
      </c>
      <c r="G422" t="s">
        <v>13</v>
      </c>
      <c r="H422" t="s">
        <v>16</v>
      </c>
      <c r="I422" t="s">
        <v>42</v>
      </c>
    </row>
    <row r="423" spans="1:9" x14ac:dyDescent="0.35">
      <c r="A423">
        <v>422</v>
      </c>
      <c r="B423">
        <v>179</v>
      </c>
      <c r="C423">
        <v>1</v>
      </c>
      <c r="D423" s="1">
        <v>42064</v>
      </c>
      <c r="E423">
        <v>16.5</v>
      </c>
      <c r="F423">
        <v>16.5</v>
      </c>
      <c r="G423" t="s">
        <v>13</v>
      </c>
      <c r="H423" t="s">
        <v>10</v>
      </c>
      <c r="I423" t="s">
        <v>11</v>
      </c>
    </row>
    <row r="424" spans="1:9" x14ac:dyDescent="0.35">
      <c r="A424">
        <v>423</v>
      </c>
      <c r="B424">
        <v>179</v>
      </c>
      <c r="C424">
        <v>1</v>
      </c>
      <c r="D424" s="1">
        <v>42064</v>
      </c>
      <c r="E424">
        <v>16.25</v>
      </c>
      <c r="F424">
        <v>16.25</v>
      </c>
      <c r="G424" t="s">
        <v>9</v>
      </c>
      <c r="H424" t="s">
        <v>16</v>
      </c>
      <c r="I424" t="s">
        <v>44</v>
      </c>
    </row>
    <row r="425" spans="1:9" x14ac:dyDescent="0.35">
      <c r="A425">
        <v>424</v>
      </c>
      <c r="B425">
        <v>179</v>
      </c>
      <c r="C425">
        <v>1</v>
      </c>
      <c r="D425" s="1">
        <v>42064</v>
      </c>
      <c r="E425">
        <v>12</v>
      </c>
      <c r="F425">
        <v>12</v>
      </c>
      <c r="G425" t="s">
        <v>22</v>
      </c>
      <c r="H425" t="s">
        <v>14</v>
      </c>
      <c r="I425" t="s">
        <v>30</v>
      </c>
    </row>
    <row r="426" spans="1:9" x14ac:dyDescent="0.35">
      <c r="A426">
        <v>425</v>
      </c>
      <c r="B426">
        <v>180</v>
      </c>
      <c r="C426">
        <v>1</v>
      </c>
      <c r="D426" s="1">
        <v>42064</v>
      </c>
      <c r="E426">
        <v>20.5</v>
      </c>
      <c r="F426">
        <v>20.5</v>
      </c>
      <c r="G426" t="s">
        <v>13</v>
      </c>
      <c r="H426" t="s">
        <v>10</v>
      </c>
      <c r="I426" t="s">
        <v>12</v>
      </c>
    </row>
    <row r="427" spans="1:9" x14ac:dyDescent="0.35">
      <c r="A427">
        <v>426</v>
      </c>
      <c r="B427">
        <v>180</v>
      </c>
      <c r="C427">
        <v>1</v>
      </c>
      <c r="D427" s="1">
        <v>42064</v>
      </c>
      <c r="E427">
        <v>20.75</v>
      </c>
      <c r="F427">
        <v>20.75</v>
      </c>
      <c r="G427" t="s">
        <v>13</v>
      </c>
      <c r="H427" t="s">
        <v>16</v>
      </c>
      <c r="I427" t="s">
        <v>21</v>
      </c>
    </row>
    <row r="428" spans="1:9" x14ac:dyDescent="0.35">
      <c r="A428">
        <v>427</v>
      </c>
      <c r="B428">
        <v>181</v>
      </c>
      <c r="C428">
        <v>1</v>
      </c>
      <c r="D428" s="1">
        <v>42064</v>
      </c>
      <c r="E428">
        <v>20.25</v>
      </c>
      <c r="F428">
        <v>20.25</v>
      </c>
      <c r="G428" t="s">
        <v>13</v>
      </c>
      <c r="H428" t="s">
        <v>14</v>
      </c>
      <c r="I428" t="s">
        <v>18</v>
      </c>
    </row>
    <row r="429" spans="1:9" x14ac:dyDescent="0.35">
      <c r="A429">
        <v>428</v>
      </c>
      <c r="B429">
        <v>182</v>
      </c>
      <c r="C429">
        <v>1</v>
      </c>
      <c r="D429" s="1">
        <v>42064</v>
      </c>
      <c r="E429">
        <v>23.65</v>
      </c>
      <c r="F429">
        <v>23.65</v>
      </c>
      <c r="G429" t="s">
        <v>22</v>
      </c>
      <c r="H429" t="s">
        <v>16</v>
      </c>
      <c r="I429" t="s">
        <v>48</v>
      </c>
    </row>
    <row r="430" spans="1:9" x14ac:dyDescent="0.35">
      <c r="A430">
        <v>429</v>
      </c>
      <c r="B430">
        <v>182</v>
      </c>
      <c r="C430">
        <v>1</v>
      </c>
      <c r="D430" s="1">
        <v>42064</v>
      </c>
      <c r="E430">
        <v>20.75</v>
      </c>
      <c r="F430">
        <v>20.75</v>
      </c>
      <c r="G430" t="s">
        <v>13</v>
      </c>
      <c r="H430" t="s">
        <v>16</v>
      </c>
      <c r="I430" t="s">
        <v>42</v>
      </c>
    </row>
    <row r="431" spans="1:9" x14ac:dyDescent="0.35">
      <c r="A431">
        <v>430</v>
      </c>
      <c r="B431">
        <v>183</v>
      </c>
      <c r="C431">
        <v>1</v>
      </c>
      <c r="D431" s="1">
        <v>42064</v>
      </c>
      <c r="E431">
        <v>16</v>
      </c>
      <c r="F431">
        <v>16</v>
      </c>
      <c r="G431" t="s">
        <v>9</v>
      </c>
      <c r="H431" t="s">
        <v>10</v>
      </c>
      <c r="I431" t="s">
        <v>38</v>
      </c>
    </row>
    <row r="432" spans="1:9" x14ac:dyDescent="0.35">
      <c r="A432">
        <v>431</v>
      </c>
      <c r="B432">
        <v>183</v>
      </c>
      <c r="C432">
        <v>1</v>
      </c>
      <c r="D432" s="1">
        <v>42064</v>
      </c>
      <c r="E432">
        <v>20.75</v>
      </c>
      <c r="F432">
        <v>20.75</v>
      </c>
      <c r="G432" t="s">
        <v>13</v>
      </c>
      <c r="H432" t="s">
        <v>14</v>
      </c>
      <c r="I432" t="s">
        <v>29</v>
      </c>
    </row>
    <row r="433" spans="1:9" x14ac:dyDescent="0.35">
      <c r="A433">
        <v>432</v>
      </c>
      <c r="B433">
        <v>183</v>
      </c>
      <c r="C433">
        <v>1</v>
      </c>
      <c r="D433" s="1">
        <v>42064</v>
      </c>
      <c r="E433">
        <v>12.5</v>
      </c>
      <c r="F433">
        <v>12.5</v>
      </c>
      <c r="G433" t="s">
        <v>22</v>
      </c>
      <c r="H433" t="s">
        <v>14</v>
      </c>
      <c r="I433" t="s">
        <v>29</v>
      </c>
    </row>
    <row r="434" spans="1:9" x14ac:dyDescent="0.35">
      <c r="A434">
        <v>433</v>
      </c>
      <c r="B434">
        <v>184</v>
      </c>
      <c r="C434">
        <v>1</v>
      </c>
      <c r="D434" s="1">
        <v>42064</v>
      </c>
      <c r="E434">
        <v>16.5</v>
      </c>
      <c r="F434">
        <v>16.5</v>
      </c>
      <c r="G434" t="s">
        <v>13</v>
      </c>
      <c r="H434" t="s">
        <v>10</v>
      </c>
      <c r="I434" t="s">
        <v>11</v>
      </c>
    </row>
    <row r="435" spans="1:9" x14ac:dyDescent="0.35">
      <c r="A435">
        <v>434</v>
      </c>
      <c r="B435">
        <v>185</v>
      </c>
      <c r="C435">
        <v>1</v>
      </c>
      <c r="D435" s="1">
        <v>42064</v>
      </c>
      <c r="E435">
        <v>16.25</v>
      </c>
      <c r="F435">
        <v>16.25</v>
      </c>
      <c r="G435" t="s">
        <v>9</v>
      </c>
      <c r="H435" t="s">
        <v>16</v>
      </c>
      <c r="I435" t="s">
        <v>44</v>
      </c>
    </row>
    <row r="436" spans="1:9" x14ac:dyDescent="0.35">
      <c r="A436">
        <v>435</v>
      </c>
      <c r="B436">
        <v>185</v>
      </c>
      <c r="C436">
        <v>1</v>
      </c>
      <c r="D436" s="1">
        <v>42064</v>
      </c>
      <c r="E436">
        <v>12.5</v>
      </c>
      <c r="F436">
        <v>12.5</v>
      </c>
      <c r="G436" t="s">
        <v>22</v>
      </c>
      <c r="H436" t="s">
        <v>14</v>
      </c>
      <c r="I436" t="s">
        <v>29</v>
      </c>
    </row>
    <row r="437" spans="1:9" x14ac:dyDescent="0.35">
      <c r="A437">
        <v>436</v>
      </c>
      <c r="B437">
        <v>186</v>
      </c>
      <c r="C437">
        <v>1</v>
      </c>
      <c r="D437" s="1">
        <v>42064</v>
      </c>
      <c r="E437">
        <v>20.25</v>
      </c>
      <c r="F437">
        <v>20.25</v>
      </c>
      <c r="G437" t="s">
        <v>13</v>
      </c>
      <c r="H437" t="s">
        <v>14</v>
      </c>
      <c r="I437" t="s">
        <v>18</v>
      </c>
    </row>
    <row r="438" spans="1:9" x14ac:dyDescent="0.35">
      <c r="A438">
        <v>437</v>
      </c>
      <c r="B438">
        <v>186</v>
      </c>
      <c r="C438">
        <v>1</v>
      </c>
      <c r="D438" s="1">
        <v>42064</v>
      </c>
      <c r="E438">
        <v>20.75</v>
      </c>
      <c r="F438">
        <v>20.75</v>
      </c>
      <c r="G438" t="s">
        <v>13</v>
      </c>
      <c r="H438" t="s">
        <v>19</v>
      </c>
      <c r="I438" t="s">
        <v>31</v>
      </c>
    </row>
    <row r="439" spans="1:9" x14ac:dyDescent="0.35">
      <c r="A439">
        <v>438</v>
      </c>
      <c r="B439">
        <v>186</v>
      </c>
      <c r="C439">
        <v>1</v>
      </c>
      <c r="D439" s="1">
        <v>42064</v>
      </c>
      <c r="E439">
        <v>20.75</v>
      </c>
      <c r="F439">
        <v>20.75</v>
      </c>
      <c r="G439" t="s">
        <v>13</v>
      </c>
      <c r="H439" t="s">
        <v>14</v>
      </c>
      <c r="I439" t="s">
        <v>29</v>
      </c>
    </row>
    <row r="440" spans="1:9" x14ac:dyDescent="0.35">
      <c r="A440">
        <v>439</v>
      </c>
      <c r="B440">
        <v>186</v>
      </c>
      <c r="C440">
        <v>1</v>
      </c>
      <c r="D440" s="1">
        <v>42064</v>
      </c>
      <c r="E440">
        <v>20.75</v>
      </c>
      <c r="F440">
        <v>20.75</v>
      </c>
      <c r="G440" t="s">
        <v>13</v>
      </c>
      <c r="H440" t="s">
        <v>19</v>
      </c>
      <c r="I440" t="s">
        <v>20</v>
      </c>
    </row>
    <row r="441" spans="1:9" x14ac:dyDescent="0.35">
      <c r="A441">
        <v>440</v>
      </c>
      <c r="B441">
        <v>187</v>
      </c>
      <c r="C441">
        <v>1</v>
      </c>
      <c r="D441" s="1">
        <v>42064</v>
      </c>
      <c r="E441">
        <v>18.5</v>
      </c>
      <c r="F441">
        <v>18.5</v>
      </c>
      <c r="G441" t="s">
        <v>13</v>
      </c>
      <c r="H441" t="s">
        <v>14</v>
      </c>
      <c r="I441" t="s">
        <v>15</v>
      </c>
    </row>
    <row r="442" spans="1:9" x14ac:dyDescent="0.35">
      <c r="A442">
        <v>441</v>
      </c>
      <c r="B442">
        <v>187</v>
      </c>
      <c r="C442">
        <v>1</v>
      </c>
      <c r="D442" s="1">
        <v>42064</v>
      </c>
      <c r="E442">
        <v>20.75</v>
      </c>
      <c r="F442">
        <v>20.75</v>
      </c>
      <c r="G442" t="s">
        <v>13</v>
      </c>
      <c r="H442" t="s">
        <v>14</v>
      </c>
      <c r="I442" t="s">
        <v>29</v>
      </c>
    </row>
    <row r="443" spans="1:9" x14ac:dyDescent="0.35">
      <c r="A443">
        <v>442</v>
      </c>
      <c r="B443">
        <v>188</v>
      </c>
      <c r="C443">
        <v>1</v>
      </c>
      <c r="D443" s="1">
        <v>42064</v>
      </c>
      <c r="E443">
        <v>18.5</v>
      </c>
      <c r="F443">
        <v>18.5</v>
      </c>
      <c r="G443" t="s">
        <v>13</v>
      </c>
      <c r="H443" t="s">
        <v>14</v>
      </c>
      <c r="I443" t="s">
        <v>15</v>
      </c>
    </row>
    <row r="444" spans="1:9" x14ac:dyDescent="0.35">
      <c r="A444">
        <v>443</v>
      </c>
      <c r="B444">
        <v>188</v>
      </c>
      <c r="C444">
        <v>1</v>
      </c>
      <c r="D444" s="1">
        <v>42064</v>
      </c>
      <c r="E444">
        <v>9.75</v>
      </c>
      <c r="F444">
        <v>9.75</v>
      </c>
      <c r="G444" t="s">
        <v>22</v>
      </c>
      <c r="H444" t="s">
        <v>10</v>
      </c>
      <c r="I444" t="s">
        <v>33</v>
      </c>
    </row>
    <row r="445" spans="1:9" x14ac:dyDescent="0.35">
      <c r="A445">
        <v>444</v>
      </c>
      <c r="B445">
        <v>188</v>
      </c>
      <c r="C445">
        <v>1</v>
      </c>
      <c r="D445" s="1">
        <v>42064</v>
      </c>
      <c r="E445">
        <v>20.75</v>
      </c>
      <c r="F445">
        <v>20.75</v>
      </c>
      <c r="G445" t="s">
        <v>13</v>
      </c>
      <c r="H445" t="s">
        <v>16</v>
      </c>
      <c r="I445" t="s">
        <v>42</v>
      </c>
    </row>
    <row r="446" spans="1:9" x14ac:dyDescent="0.35">
      <c r="A446">
        <v>445</v>
      </c>
      <c r="B446">
        <v>189</v>
      </c>
      <c r="C446">
        <v>2</v>
      </c>
      <c r="D446" s="1">
        <v>42064</v>
      </c>
      <c r="E446">
        <v>12</v>
      </c>
      <c r="F446">
        <v>24</v>
      </c>
      <c r="G446" t="s">
        <v>22</v>
      </c>
      <c r="H446" t="s">
        <v>10</v>
      </c>
      <c r="I446" t="s">
        <v>35</v>
      </c>
    </row>
    <row r="447" spans="1:9" x14ac:dyDescent="0.35">
      <c r="A447">
        <v>446</v>
      </c>
      <c r="B447">
        <v>189</v>
      </c>
      <c r="C447">
        <v>1</v>
      </c>
      <c r="D447" s="1">
        <v>42064</v>
      </c>
      <c r="E447">
        <v>12.75</v>
      </c>
      <c r="F447">
        <v>12.75</v>
      </c>
      <c r="G447" t="s">
        <v>22</v>
      </c>
      <c r="H447" t="s">
        <v>19</v>
      </c>
      <c r="I447" t="s">
        <v>20</v>
      </c>
    </row>
    <row r="448" spans="1:9" x14ac:dyDescent="0.35">
      <c r="A448">
        <v>447</v>
      </c>
      <c r="B448">
        <v>190</v>
      </c>
      <c r="C448">
        <v>1</v>
      </c>
      <c r="D448" s="1">
        <v>42064</v>
      </c>
      <c r="E448">
        <v>20.75</v>
      </c>
      <c r="F448">
        <v>20.75</v>
      </c>
      <c r="G448" t="s">
        <v>13</v>
      </c>
      <c r="H448" t="s">
        <v>19</v>
      </c>
      <c r="I448" t="s">
        <v>23</v>
      </c>
    </row>
    <row r="449" spans="1:9" x14ac:dyDescent="0.35">
      <c r="A449">
        <v>448</v>
      </c>
      <c r="B449">
        <v>190</v>
      </c>
      <c r="C449">
        <v>1</v>
      </c>
      <c r="D449" s="1">
        <v>42064</v>
      </c>
      <c r="E449">
        <v>14.75</v>
      </c>
      <c r="F449">
        <v>14.75</v>
      </c>
      <c r="G449" t="s">
        <v>9</v>
      </c>
      <c r="H449" t="s">
        <v>14</v>
      </c>
      <c r="I449" t="s">
        <v>37</v>
      </c>
    </row>
    <row r="450" spans="1:9" x14ac:dyDescent="0.35">
      <c r="A450">
        <v>449</v>
      </c>
      <c r="B450">
        <v>190</v>
      </c>
      <c r="C450">
        <v>1</v>
      </c>
      <c r="D450" s="1">
        <v>42064</v>
      </c>
      <c r="E450">
        <v>11</v>
      </c>
      <c r="F450">
        <v>11</v>
      </c>
      <c r="G450" t="s">
        <v>22</v>
      </c>
      <c r="H450" t="s">
        <v>10</v>
      </c>
      <c r="I450" t="s">
        <v>46</v>
      </c>
    </row>
    <row r="451" spans="1:9" x14ac:dyDescent="0.35">
      <c r="A451">
        <v>450</v>
      </c>
      <c r="B451">
        <v>190</v>
      </c>
      <c r="C451">
        <v>1</v>
      </c>
      <c r="D451" s="1">
        <v>42064</v>
      </c>
      <c r="E451">
        <v>20.75</v>
      </c>
      <c r="F451">
        <v>20.75</v>
      </c>
      <c r="G451" t="s">
        <v>13</v>
      </c>
      <c r="H451" t="s">
        <v>16</v>
      </c>
      <c r="I451" t="s">
        <v>21</v>
      </c>
    </row>
    <row r="452" spans="1:9" x14ac:dyDescent="0.35">
      <c r="A452">
        <v>451</v>
      </c>
      <c r="B452">
        <v>191</v>
      </c>
      <c r="C452">
        <v>1</v>
      </c>
      <c r="D452" s="1">
        <v>42064</v>
      </c>
      <c r="E452">
        <v>20.75</v>
      </c>
      <c r="F452">
        <v>20.75</v>
      </c>
      <c r="G452" t="s">
        <v>13</v>
      </c>
      <c r="H452" t="s">
        <v>19</v>
      </c>
      <c r="I452" t="s">
        <v>32</v>
      </c>
    </row>
    <row r="453" spans="1:9" x14ac:dyDescent="0.35">
      <c r="A453">
        <v>452</v>
      </c>
      <c r="B453">
        <v>191</v>
      </c>
      <c r="C453">
        <v>1</v>
      </c>
      <c r="D453" s="1">
        <v>42064</v>
      </c>
      <c r="E453">
        <v>16.75</v>
      </c>
      <c r="F453">
        <v>16.75</v>
      </c>
      <c r="G453" t="s">
        <v>9</v>
      </c>
      <c r="H453" t="s">
        <v>19</v>
      </c>
      <c r="I453" t="s">
        <v>45</v>
      </c>
    </row>
    <row r="454" spans="1:9" x14ac:dyDescent="0.35">
      <c r="A454">
        <v>453</v>
      </c>
      <c r="B454">
        <v>192</v>
      </c>
      <c r="C454">
        <v>1</v>
      </c>
      <c r="D454" s="1">
        <v>42064</v>
      </c>
      <c r="E454">
        <v>12.25</v>
      </c>
      <c r="F454">
        <v>12.25</v>
      </c>
      <c r="G454" t="s">
        <v>22</v>
      </c>
      <c r="H454" t="s">
        <v>16</v>
      </c>
      <c r="I454" t="s">
        <v>44</v>
      </c>
    </row>
    <row r="455" spans="1:9" x14ac:dyDescent="0.35">
      <c r="A455">
        <v>454</v>
      </c>
      <c r="B455">
        <v>192</v>
      </c>
      <c r="C455">
        <v>1</v>
      </c>
      <c r="D455" s="1">
        <v>42064</v>
      </c>
      <c r="E455">
        <v>20.75</v>
      </c>
      <c r="F455">
        <v>20.75</v>
      </c>
      <c r="G455" t="s">
        <v>13</v>
      </c>
      <c r="H455" t="s">
        <v>19</v>
      </c>
      <c r="I455" t="s">
        <v>31</v>
      </c>
    </row>
    <row r="456" spans="1:9" x14ac:dyDescent="0.35">
      <c r="A456">
        <v>455</v>
      </c>
      <c r="B456">
        <v>193</v>
      </c>
      <c r="C456">
        <v>1</v>
      </c>
      <c r="D456" s="1">
        <v>42064</v>
      </c>
      <c r="E456">
        <v>12</v>
      </c>
      <c r="F456">
        <v>12</v>
      </c>
      <c r="G456" t="s">
        <v>22</v>
      </c>
      <c r="H456" t="s">
        <v>10</v>
      </c>
      <c r="I456" t="s">
        <v>35</v>
      </c>
    </row>
    <row r="457" spans="1:9" x14ac:dyDescent="0.35">
      <c r="A457">
        <v>456</v>
      </c>
      <c r="B457">
        <v>193</v>
      </c>
      <c r="C457">
        <v>1</v>
      </c>
      <c r="D457" s="1">
        <v>42064</v>
      </c>
      <c r="E457">
        <v>16.75</v>
      </c>
      <c r="F457">
        <v>16.75</v>
      </c>
      <c r="G457" t="s">
        <v>9</v>
      </c>
      <c r="H457" t="s">
        <v>19</v>
      </c>
      <c r="I457" t="s">
        <v>32</v>
      </c>
    </row>
    <row r="458" spans="1:9" x14ac:dyDescent="0.35">
      <c r="A458">
        <v>457</v>
      </c>
      <c r="B458">
        <v>193</v>
      </c>
      <c r="C458">
        <v>2</v>
      </c>
      <c r="D458" s="1">
        <v>42064</v>
      </c>
      <c r="E458">
        <v>20.75</v>
      </c>
      <c r="F458">
        <v>41.5</v>
      </c>
      <c r="G458" t="s">
        <v>13</v>
      </c>
      <c r="H458" t="s">
        <v>19</v>
      </c>
      <c r="I458" t="s">
        <v>45</v>
      </c>
    </row>
    <row r="459" spans="1:9" x14ac:dyDescent="0.35">
      <c r="A459">
        <v>458</v>
      </c>
      <c r="B459">
        <v>194</v>
      </c>
      <c r="C459">
        <v>1</v>
      </c>
      <c r="D459" s="1">
        <v>42064</v>
      </c>
      <c r="E459">
        <v>12.75</v>
      </c>
      <c r="F459">
        <v>12.75</v>
      </c>
      <c r="G459" t="s">
        <v>22</v>
      </c>
      <c r="H459" t="s">
        <v>19</v>
      </c>
      <c r="I459" t="s">
        <v>23</v>
      </c>
    </row>
    <row r="460" spans="1:9" x14ac:dyDescent="0.35">
      <c r="A460">
        <v>459</v>
      </c>
      <c r="B460">
        <v>195</v>
      </c>
      <c r="C460">
        <v>1</v>
      </c>
      <c r="D460" s="1">
        <v>42064</v>
      </c>
      <c r="E460">
        <v>20.75</v>
      </c>
      <c r="F460">
        <v>20.75</v>
      </c>
      <c r="G460" t="s">
        <v>13</v>
      </c>
      <c r="H460" t="s">
        <v>19</v>
      </c>
      <c r="I460" t="s">
        <v>23</v>
      </c>
    </row>
    <row r="461" spans="1:9" x14ac:dyDescent="0.35">
      <c r="A461">
        <v>460</v>
      </c>
      <c r="B461">
        <v>196</v>
      </c>
      <c r="C461">
        <v>1</v>
      </c>
      <c r="D461" s="1">
        <v>42064</v>
      </c>
      <c r="E461">
        <v>12.25</v>
      </c>
      <c r="F461">
        <v>12.25</v>
      </c>
      <c r="G461" t="s">
        <v>22</v>
      </c>
      <c r="H461" t="s">
        <v>16</v>
      </c>
      <c r="I461" t="s">
        <v>44</v>
      </c>
    </row>
    <row r="462" spans="1:9" x14ac:dyDescent="0.35">
      <c r="A462">
        <v>461</v>
      </c>
      <c r="B462">
        <v>196</v>
      </c>
      <c r="C462">
        <v>1</v>
      </c>
      <c r="D462" s="1">
        <v>42064</v>
      </c>
      <c r="E462">
        <v>16.5</v>
      </c>
      <c r="F462">
        <v>16.5</v>
      </c>
      <c r="G462" t="s">
        <v>9</v>
      </c>
      <c r="H462" t="s">
        <v>16</v>
      </c>
      <c r="I462" t="s">
        <v>28</v>
      </c>
    </row>
    <row r="463" spans="1:9" x14ac:dyDescent="0.35">
      <c r="A463">
        <v>462</v>
      </c>
      <c r="B463">
        <v>196</v>
      </c>
      <c r="C463">
        <v>1</v>
      </c>
      <c r="D463" s="1">
        <v>42064</v>
      </c>
      <c r="E463">
        <v>16</v>
      </c>
      <c r="F463">
        <v>16</v>
      </c>
      <c r="G463" t="s">
        <v>9</v>
      </c>
      <c r="H463" t="s">
        <v>14</v>
      </c>
      <c r="I463" t="s">
        <v>30</v>
      </c>
    </row>
    <row r="464" spans="1:9" x14ac:dyDescent="0.35">
      <c r="A464">
        <v>463</v>
      </c>
      <c r="B464">
        <v>197</v>
      </c>
      <c r="C464">
        <v>1</v>
      </c>
      <c r="D464" s="1">
        <v>42064</v>
      </c>
      <c r="E464">
        <v>17.95</v>
      </c>
      <c r="F464">
        <v>17.95</v>
      </c>
      <c r="G464" t="s">
        <v>13</v>
      </c>
      <c r="H464" t="s">
        <v>14</v>
      </c>
      <c r="I464" t="s">
        <v>37</v>
      </c>
    </row>
    <row r="465" spans="1:9" x14ac:dyDescent="0.35">
      <c r="A465">
        <v>464</v>
      </c>
      <c r="B465">
        <v>197</v>
      </c>
      <c r="C465">
        <v>1</v>
      </c>
      <c r="D465" s="1">
        <v>42064</v>
      </c>
      <c r="E465">
        <v>20.5</v>
      </c>
      <c r="F465">
        <v>20.5</v>
      </c>
      <c r="G465" t="s">
        <v>13</v>
      </c>
      <c r="H465" t="s">
        <v>10</v>
      </c>
      <c r="I465" t="s">
        <v>27</v>
      </c>
    </row>
    <row r="466" spans="1:9" x14ac:dyDescent="0.35">
      <c r="A466">
        <v>465</v>
      </c>
      <c r="B466">
        <v>197</v>
      </c>
      <c r="C466">
        <v>1</v>
      </c>
      <c r="D466" s="1">
        <v>42064</v>
      </c>
      <c r="E466">
        <v>21</v>
      </c>
      <c r="F466">
        <v>21</v>
      </c>
      <c r="G466" t="s">
        <v>13</v>
      </c>
      <c r="H466" t="s">
        <v>14</v>
      </c>
      <c r="I466" t="s">
        <v>40</v>
      </c>
    </row>
    <row r="467" spans="1:9" x14ac:dyDescent="0.35">
      <c r="A467">
        <v>466</v>
      </c>
      <c r="B467">
        <v>197</v>
      </c>
      <c r="C467">
        <v>1</v>
      </c>
      <c r="D467" s="1">
        <v>42064</v>
      </c>
      <c r="E467">
        <v>20.75</v>
      </c>
      <c r="F467">
        <v>20.75</v>
      </c>
      <c r="G467" t="s">
        <v>13</v>
      </c>
      <c r="H467" t="s">
        <v>16</v>
      </c>
      <c r="I467" t="s">
        <v>36</v>
      </c>
    </row>
    <row r="468" spans="1:9" x14ac:dyDescent="0.35">
      <c r="A468">
        <v>467</v>
      </c>
      <c r="B468">
        <v>198</v>
      </c>
      <c r="C468">
        <v>1</v>
      </c>
      <c r="D468" s="1">
        <v>42064</v>
      </c>
      <c r="E468">
        <v>12</v>
      </c>
      <c r="F468">
        <v>12</v>
      </c>
      <c r="G468" t="s">
        <v>22</v>
      </c>
      <c r="H468" t="s">
        <v>10</v>
      </c>
      <c r="I468" t="s">
        <v>35</v>
      </c>
    </row>
    <row r="469" spans="1:9" x14ac:dyDescent="0.35">
      <c r="A469">
        <v>468</v>
      </c>
      <c r="B469">
        <v>198</v>
      </c>
      <c r="C469">
        <v>1</v>
      </c>
      <c r="D469" s="1">
        <v>42064</v>
      </c>
      <c r="E469">
        <v>20.75</v>
      </c>
      <c r="F469">
        <v>20.75</v>
      </c>
      <c r="G469" t="s">
        <v>13</v>
      </c>
      <c r="H469" t="s">
        <v>19</v>
      </c>
      <c r="I469" t="s">
        <v>45</v>
      </c>
    </row>
    <row r="470" spans="1:9" x14ac:dyDescent="0.35">
      <c r="A470">
        <v>469</v>
      </c>
      <c r="B470">
        <v>199</v>
      </c>
      <c r="C470">
        <v>1</v>
      </c>
      <c r="D470" s="1">
        <v>42064</v>
      </c>
      <c r="E470">
        <v>16.75</v>
      </c>
      <c r="F470">
        <v>16.75</v>
      </c>
      <c r="G470" t="s">
        <v>9</v>
      </c>
      <c r="H470" t="s">
        <v>19</v>
      </c>
      <c r="I470" t="s">
        <v>45</v>
      </c>
    </row>
    <row r="471" spans="1:9" x14ac:dyDescent="0.35">
      <c r="A471">
        <v>470</v>
      </c>
      <c r="B471">
        <v>200</v>
      </c>
      <c r="C471">
        <v>1</v>
      </c>
      <c r="D471" s="1">
        <v>42064</v>
      </c>
      <c r="E471">
        <v>25.5</v>
      </c>
      <c r="F471">
        <v>25.5</v>
      </c>
      <c r="G471" t="s">
        <v>47</v>
      </c>
      <c r="H471" t="s">
        <v>10</v>
      </c>
      <c r="I471" t="s">
        <v>24</v>
      </c>
    </row>
    <row r="472" spans="1:9" x14ac:dyDescent="0.35">
      <c r="A472">
        <v>471</v>
      </c>
      <c r="B472">
        <v>201</v>
      </c>
      <c r="C472">
        <v>1</v>
      </c>
      <c r="D472" s="1">
        <v>42064</v>
      </c>
      <c r="E472">
        <v>16.25</v>
      </c>
      <c r="F472">
        <v>16.25</v>
      </c>
      <c r="G472" t="s">
        <v>9</v>
      </c>
      <c r="H472" t="s">
        <v>16</v>
      </c>
      <c r="I472" t="s">
        <v>39</v>
      </c>
    </row>
    <row r="473" spans="1:9" x14ac:dyDescent="0.35">
      <c r="A473">
        <v>472</v>
      </c>
      <c r="B473">
        <v>201</v>
      </c>
      <c r="C473">
        <v>1</v>
      </c>
      <c r="D473" s="1">
        <v>42064</v>
      </c>
      <c r="E473">
        <v>20.75</v>
      </c>
      <c r="F473">
        <v>20.75</v>
      </c>
      <c r="G473" t="s">
        <v>13</v>
      </c>
      <c r="H473" t="s">
        <v>19</v>
      </c>
      <c r="I473" t="s">
        <v>34</v>
      </c>
    </row>
    <row r="474" spans="1:9" x14ac:dyDescent="0.35">
      <c r="A474">
        <v>473</v>
      </c>
      <c r="B474">
        <v>201</v>
      </c>
      <c r="C474">
        <v>1</v>
      </c>
      <c r="D474" s="1">
        <v>42064</v>
      </c>
      <c r="E474">
        <v>20.75</v>
      </c>
      <c r="F474">
        <v>20.75</v>
      </c>
      <c r="G474" t="s">
        <v>13</v>
      </c>
      <c r="H474" t="s">
        <v>16</v>
      </c>
      <c r="I474" t="s">
        <v>17</v>
      </c>
    </row>
    <row r="475" spans="1:9" x14ac:dyDescent="0.35">
      <c r="A475">
        <v>474</v>
      </c>
      <c r="B475">
        <v>201</v>
      </c>
      <c r="C475">
        <v>1</v>
      </c>
      <c r="D475" s="1">
        <v>42064</v>
      </c>
      <c r="E475">
        <v>25.5</v>
      </c>
      <c r="F475">
        <v>25.5</v>
      </c>
      <c r="G475" t="s">
        <v>47</v>
      </c>
      <c r="H475" t="s">
        <v>10</v>
      </c>
      <c r="I475" t="s">
        <v>24</v>
      </c>
    </row>
    <row r="476" spans="1:9" x14ac:dyDescent="0.35">
      <c r="A476">
        <v>475</v>
      </c>
      <c r="B476">
        <v>202</v>
      </c>
      <c r="C476">
        <v>1</v>
      </c>
      <c r="D476" s="1">
        <v>42064</v>
      </c>
      <c r="E476">
        <v>12.75</v>
      </c>
      <c r="F476">
        <v>12.75</v>
      </c>
      <c r="G476" t="s">
        <v>22</v>
      </c>
      <c r="H476" t="s">
        <v>19</v>
      </c>
      <c r="I476" t="s">
        <v>32</v>
      </c>
    </row>
    <row r="477" spans="1:9" x14ac:dyDescent="0.35">
      <c r="A477">
        <v>476</v>
      </c>
      <c r="B477">
        <v>203</v>
      </c>
      <c r="C477">
        <v>1</v>
      </c>
      <c r="D477" s="1">
        <v>42095</v>
      </c>
      <c r="E477">
        <v>20.75</v>
      </c>
      <c r="F477">
        <v>20.75</v>
      </c>
      <c r="G477" t="s">
        <v>13</v>
      </c>
      <c r="H477" t="s">
        <v>19</v>
      </c>
      <c r="I477" t="s">
        <v>32</v>
      </c>
    </row>
    <row r="478" spans="1:9" x14ac:dyDescent="0.35">
      <c r="A478">
        <v>477</v>
      </c>
      <c r="B478">
        <v>203</v>
      </c>
      <c r="C478">
        <v>1</v>
      </c>
      <c r="D478" s="1">
        <v>42095</v>
      </c>
      <c r="E478">
        <v>16.75</v>
      </c>
      <c r="F478">
        <v>16.75</v>
      </c>
      <c r="G478" t="s">
        <v>9</v>
      </c>
      <c r="H478" t="s">
        <v>14</v>
      </c>
      <c r="I478" t="s">
        <v>40</v>
      </c>
    </row>
    <row r="479" spans="1:9" x14ac:dyDescent="0.35">
      <c r="A479">
        <v>478</v>
      </c>
      <c r="B479">
        <v>203</v>
      </c>
      <c r="C479">
        <v>1</v>
      </c>
      <c r="D479" s="1">
        <v>42095</v>
      </c>
      <c r="E479">
        <v>17.5</v>
      </c>
      <c r="F479">
        <v>17.5</v>
      </c>
      <c r="G479" t="s">
        <v>13</v>
      </c>
      <c r="H479" t="s">
        <v>10</v>
      </c>
      <c r="I479" t="s">
        <v>46</v>
      </c>
    </row>
    <row r="480" spans="1:9" x14ac:dyDescent="0.35">
      <c r="A480">
        <v>479</v>
      </c>
      <c r="B480">
        <v>203</v>
      </c>
      <c r="C480">
        <v>1</v>
      </c>
      <c r="D480" s="1">
        <v>42095</v>
      </c>
      <c r="E480">
        <v>12</v>
      </c>
      <c r="F480">
        <v>12</v>
      </c>
      <c r="G480" t="s">
        <v>22</v>
      </c>
      <c r="H480" t="s">
        <v>10</v>
      </c>
      <c r="I480" t="s">
        <v>24</v>
      </c>
    </row>
    <row r="481" spans="1:9" x14ac:dyDescent="0.35">
      <c r="A481">
        <v>480</v>
      </c>
      <c r="B481">
        <v>204</v>
      </c>
      <c r="C481">
        <v>1</v>
      </c>
      <c r="D481" s="1">
        <v>42095</v>
      </c>
      <c r="E481">
        <v>20.75</v>
      </c>
      <c r="F481">
        <v>20.75</v>
      </c>
      <c r="G481" t="s">
        <v>13</v>
      </c>
      <c r="H481" t="s">
        <v>16</v>
      </c>
      <c r="I481" t="s">
        <v>28</v>
      </c>
    </row>
    <row r="482" spans="1:9" x14ac:dyDescent="0.35">
      <c r="A482">
        <v>481</v>
      </c>
      <c r="B482">
        <v>205</v>
      </c>
      <c r="C482">
        <v>1</v>
      </c>
      <c r="D482" s="1">
        <v>42095</v>
      </c>
      <c r="E482">
        <v>12.75</v>
      </c>
      <c r="F482">
        <v>12.75</v>
      </c>
      <c r="G482" t="s">
        <v>22</v>
      </c>
      <c r="H482" t="s">
        <v>19</v>
      </c>
      <c r="I482" t="s">
        <v>32</v>
      </c>
    </row>
    <row r="483" spans="1:9" x14ac:dyDescent="0.35">
      <c r="A483">
        <v>482</v>
      </c>
      <c r="B483">
        <v>205</v>
      </c>
      <c r="C483">
        <v>1</v>
      </c>
      <c r="D483" s="1">
        <v>42095</v>
      </c>
      <c r="E483">
        <v>16.75</v>
      </c>
      <c r="F483">
        <v>16.75</v>
      </c>
      <c r="G483" t="s">
        <v>9</v>
      </c>
      <c r="H483" t="s">
        <v>19</v>
      </c>
      <c r="I483" t="s">
        <v>45</v>
      </c>
    </row>
    <row r="484" spans="1:9" x14ac:dyDescent="0.35">
      <c r="A484">
        <v>483</v>
      </c>
      <c r="B484">
        <v>205</v>
      </c>
      <c r="C484">
        <v>1</v>
      </c>
      <c r="D484" s="1">
        <v>42095</v>
      </c>
      <c r="E484">
        <v>12.5</v>
      </c>
      <c r="F484">
        <v>12.5</v>
      </c>
      <c r="G484" t="s">
        <v>22</v>
      </c>
      <c r="H484" t="s">
        <v>16</v>
      </c>
      <c r="I484" t="s">
        <v>21</v>
      </c>
    </row>
    <row r="485" spans="1:9" x14ac:dyDescent="0.35">
      <c r="A485">
        <v>484</v>
      </c>
      <c r="B485">
        <v>206</v>
      </c>
      <c r="C485">
        <v>1</v>
      </c>
      <c r="D485" s="1">
        <v>42095</v>
      </c>
      <c r="E485">
        <v>16</v>
      </c>
      <c r="F485">
        <v>16</v>
      </c>
      <c r="G485" t="s">
        <v>9</v>
      </c>
      <c r="H485" t="s">
        <v>10</v>
      </c>
      <c r="I485" t="s">
        <v>38</v>
      </c>
    </row>
    <row r="486" spans="1:9" x14ac:dyDescent="0.35">
      <c r="A486">
        <v>485</v>
      </c>
      <c r="B486">
        <v>206</v>
      </c>
      <c r="C486">
        <v>1</v>
      </c>
      <c r="D486" s="1">
        <v>42095</v>
      </c>
      <c r="E486">
        <v>9.75</v>
      </c>
      <c r="F486">
        <v>9.75</v>
      </c>
      <c r="G486" t="s">
        <v>22</v>
      </c>
      <c r="H486" t="s">
        <v>10</v>
      </c>
      <c r="I486" t="s">
        <v>33</v>
      </c>
    </row>
    <row r="487" spans="1:9" x14ac:dyDescent="0.35">
      <c r="A487">
        <v>486</v>
      </c>
      <c r="B487">
        <v>206</v>
      </c>
      <c r="C487">
        <v>1</v>
      </c>
      <c r="D487" s="1">
        <v>42095</v>
      </c>
      <c r="E487">
        <v>20.75</v>
      </c>
      <c r="F487">
        <v>20.75</v>
      </c>
      <c r="G487" t="s">
        <v>13</v>
      </c>
      <c r="H487" t="s">
        <v>16</v>
      </c>
      <c r="I487" t="s">
        <v>28</v>
      </c>
    </row>
    <row r="488" spans="1:9" x14ac:dyDescent="0.35">
      <c r="A488">
        <v>487</v>
      </c>
      <c r="B488">
        <v>207</v>
      </c>
      <c r="C488">
        <v>1</v>
      </c>
      <c r="D488" s="1">
        <v>42095</v>
      </c>
      <c r="E488">
        <v>20.75</v>
      </c>
      <c r="F488">
        <v>20.75</v>
      </c>
      <c r="G488" t="s">
        <v>13</v>
      </c>
      <c r="H488" t="s">
        <v>16</v>
      </c>
      <c r="I488" t="s">
        <v>28</v>
      </c>
    </row>
    <row r="489" spans="1:9" x14ac:dyDescent="0.35">
      <c r="A489">
        <v>488</v>
      </c>
      <c r="B489">
        <v>208</v>
      </c>
      <c r="C489">
        <v>1</v>
      </c>
      <c r="D489" s="1">
        <v>42095</v>
      </c>
      <c r="E489">
        <v>20.75</v>
      </c>
      <c r="F489">
        <v>20.75</v>
      </c>
      <c r="G489" t="s">
        <v>13</v>
      </c>
      <c r="H489" t="s">
        <v>19</v>
      </c>
      <c r="I489" t="s">
        <v>23</v>
      </c>
    </row>
    <row r="490" spans="1:9" x14ac:dyDescent="0.35">
      <c r="A490">
        <v>489</v>
      </c>
      <c r="B490">
        <v>208</v>
      </c>
      <c r="C490">
        <v>1</v>
      </c>
      <c r="D490" s="1">
        <v>42095</v>
      </c>
      <c r="E490">
        <v>12.75</v>
      </c>
      <c r="F490">
        <v>12.75</v>
      </c>
      <c r="G490" t="s">
        <v>22</v>
      </c>
      <c r="H490" t="s">
        <v>19</v>
      </c>
      <c r="I490" t="s">
        <v>23</v>
      </c>
    </row>
    <row r="491" spans="1:9" x14ac:dyDescent="0.35">
      <c r="A491">
        <v>490</v>
      </c>
      <c r="B491">
        <v>208</v>
      </c>
      <c r="C491">
        <v>1</v>
      </c>
      <c r="D491" s="1">
        <v>42095</v>
      </c>
      <c r="E491">
        <v>16.75</v>
      </c>
      <c r="F491">
        <v>16.75</v>
      </c>
      <c r="G491" t="s">
        <v>9</v>
      </c>
      <c r="H491" t="s">
        <v>19</v>
      </c>
      <c r="I491" t="s">
        <v>45</v>
      </c>
    </row>
    <row r="492" spans="1:9" x14ac:dyDescent="0.35">
      <c r="A492">
        <v>491</v>
      </c>
      <c r="B492">
        <v>208</v>
      </c>
      <c r="C492">
        <v>1</v>
      </c>
      <c r="D492" s="1">
        <v>42095</v>
      </c>
      <c r="E492">
        <v>12.5</v>
      </c>
      <c r="F492">
        <v>12.5</v>
      </c>
      <c r="G492" t="s">
        <v>9</v>
      </c>
      <c r="H492" t="s">
        <v>10</v>
      </c>
      <c r="I492" t="s">
        <v>33</v>
      </c>
    </row>
    <row r="493" spans="1:9" x14ac:dyDescent="0.35">
      <c r="A493">
        <v>492</v>
      </c>
      <c r="B493">
        <v>208</v>
      </c>
      <c r="C493">
        <v>1</v>
      </c>
      <c r="D493" s="1">
        <v>42095</v>
      </c>
      <c r="E493">
        <v>16</v>
      </c>
      <c r="F493">
        <v>16</v>
      </c>
      <c r="G493" t="s">
        <v>9</v>
      </c>
      <c r="H493" t="s">
        <v>10</v>
      </c>
      <c r="I493" t="s">
        <v>24</v>
      </c>
    </row>
    <row r="494" spans="1:9" x14ac:dyDescent="0.35">
      <c r="A494">
        <v>493</v>
      </c>
      <c r="B494">
        <v>209</v>
      </c>
      <c r="C494">
        <v>1</v>
      </c>
      <c r="D494" s="1">
        <v>42095</v>
      </c>
      <c r="E494">
        <v>20.75</v>
      </c>
      <c r="F494">
        <v>20.75</v>
      </c>
      <c r="G494" t="s">
        <v>13</v>
      </c>
      <c r="H494" t="s">
        <v>19</v>
      </c>
      <c r="I494" t="s">
        <v>32</v>
      </c>
    </row>
    <row r="495" spans="1:9" x14ac:dyDescent="0.35">
      <c r="A495">
        <v>494</v>
      </c>
      <c r="B495">
        <v>210</v>
      </c>
      <c r="C495">
        <v>1</v>
      </c>
      <c r="D495" s="1">
        <v>42095</v>
      </c>
      <c r="E495">
        <v>12</v>
      </c>
      <c r="F495">
        <v>12</v>
      </c>
      <c r="G495" t="s">
        <v>22</v>
      </c>
      <c r="H495" t="s">
        <v>14</v>
      </c>
      <c r="I495" t="s">
        <v>43</v>
      </c>
    </row>
    <row r="496" spans="1:9" x14ac:dyDescent="0.35">
      <c r="A496">
        <v>495</v>
      </c>
      <c r="B496">
        <v>211</v>
      </c>
      <c r="C496">
        <v>1</v>
      </c>
      <c r="D496" s="1">
        <v>42095</v>
      </c>
      <c r="E496">
        <v>9.75</v>
      </c>
      <c r="F496">
        <v>9.75</v>
      </c>
      <c r="G496" t="s">
        <v>22</v>
      </c>
      <c r="H496" t="s">
        <v>10</v>
      </c>
      <c r="I496" t="s">
        <v>33</v>
      </c>
    </row>
    <row r="497" spans="1:9" x14ac:dyDescent="0.35">
      <c r="A497">
        <v>496</v>
      </c>
      <c r="B497">
        <v>212</v>
      </c>
      <c r="C497">
        <v>1</v>
      </c>
      <c r="D497" s="1">
        <v>42095</v>
      </c>
      <c r="E497">
        <v>20.5</v>
      </c>
      <c r="F497">
        <v>20.5</v>
      </c>
      <c r="G497" t="s">
        <v>13</v>
      </c>
      <c r="H497" t="s">
        <v>10</v>
      </c>
      <c r="I497" t="s">
        <v>27</v>
      </c>
    </row>
    <row r="498" spans="1:9" x14ac:dyDescent="0.35">
      <c r="A498">
        <v>497</v>
      </c>
      <c r="B498">
        <v>213</v>
      </c>
      <c r="C498">
        <v>1</v>
      </c>
      <c r="D498" s="1">
        <v>42095</v>
      </c>
      <c r="E498">
        <v>17.95</v>
      </c>
      <c r="F498">
        <v>17.95</v>
      </c>
      <c r="G498" t="s">
        <v>13</v>
      </c>
      <c r="H498" t="s">
        <v>14</v>
      </c>
      <c r="I498" t="s">
        <v>37</v>
      </c>
    </row>
    <row r="499" spans="1:9" x14ac:dyDescent="0.35">
      <c r="A499">
        <v>498</v>
      </c>
      <c r="B499">
        <v>214</v>
      </c>
      <c r="C499">
        <v>1</v>
      </c>
      <c r="D499" s="1">
        <v>42095</v>
      </c>
      <c r="E499">
        <v>20.5</v>
      </c>
      <c r="F499">
        <v>20.5</v>
      </c>
      <c r="G499" t="s">
        <v>13</v>
      </c>
      <c r="H499" t="s">
        <v>10</v>
      </c>
      <c r="I499" t="s">
        <v>27</v>
      </c>
    </row>
    <row r="500" spans="1:9" x14ac:dyDescent="0.35">
      <c r="A500">
        <v>499</v>
      </c>
      <c r="B500">
        <v>214</v>
      </c>
      <c r="C500">
        <v>1</v>
      </c>
      <c r="D500" s="1">
        <v>42095</v>
      </c>
      <c r="E500">
        <v>16.5</v>
      </c>
      <c r="F500">
        <v>16.5</v>
      </c>
      <c r="G500" t="s">
        <v>9</v>
      </c>
      <c r="H500" t="s">
        <v>16</v>
      </c>
      <c r="I500" t="s">
        <v>17</v>
      </c>
    </row>
    <row r="501" spans="1:9" x14ac:dyDescent="0.35">
      <c r="A501">
        <v>500</v>
      </c>
      <c r="B501">
        <v>214</v>
      </c>
      <c r="C501">
        <v>1</v>
      </c>
      <c r="D501" s="1">
        <v>42095</v>
      </c>
      <c r="E501">
        <v>12</v>
      </c>
      <c r="F501">
        <v>12</v>
      </c>
      <c r="G501" t="s">
        <v>22</v>
      </c>
      <c r="H501" t="s">
        <v>14</v>
      </c>
      <c r="I501"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C4672-A714-49A0-A6D1-8229270C663E}">
  <dimension ref="A3:N8"/>
  <sheetViews>
    <sheetView workbookViewId="0">
      <selection activeCell="N17" sqref="N17"/>
    </sheetView>
  </sheetViews>
  <sheetFormatPr defaultRowHeight="14.5" x14ac:dyDescent="0.35"/>
  <cols>
    <col min="1" max="1" width="12.36328125" bestFit="1" customWidth="1"/>
    <col min="2" max="2" width="14.26953125" bestFit="1" customWidth="1"/>
    <col min="3" max="3" width="16.26953125" bestFit="1" customWidth="1"/>
    <col min="15" max="15" width="17.7265625" customWidth="1"/>
  </cols>
  <sheetData>
    <row r="3" spans="1:14" x14ac:dyDescent="0.35">
      <c r="A3" s="3" t="s">
        <v>65</v>
      </c>
      <c r="B3" t="s">
        <v>56</v>
      </c>
      <c r="C3" t="s">
        <v>62</v>
      </c>
    </row>
    <row r="4" spans="1:14" x14ac:dyDescent="0.35">
      <c r="A4" s="4" t="s">
        <v>58</v>
      </c>
      <c r="B4" s="2">
        <v>162</v>
      </c>
      <c r="C4" s="2">
        <v>2713.8500000000004</v>
      </c>
      <c r="N4" s="5"/>
    </row>
    <row r="5" spans="1:14" x14ac:dyDescent="0.35">
      <c r="A5" s="4" t="s">
        <v>59</v>
      </c>
      <c r="B5" s="2">
        <v>165</v>
      </c>
      <c r="C5" s="2">
        <v>2731.8999999999996</v>
      </c>
      <c r="N5" s="4"/>
    </row>
    <row r="6" spans="1:14" x14ac:dyDescent="0.35">
      <c r="A6" s="4" t="s">
        <v>60</v>
      </c>
      <c r="B6" s="2">
        <v>158</v>
      </c>
      <c r="C6" s="2">
        <v>2662.3999999999996</v>
      </c>
      <c r="N6" s="4"/>
    </row>
    <row r="7" spans="1:14" x14ac:dyDescent="0.35">
      <c r="A7" s="4" t="s">
        <v>61</v>
      </c>
      <c r="B7" s="2">
        <v>25</v>
      </c>
      <c r="C7" s="2">
        <v>405.7</v>
      </c>
      <c r="N7" s="4"/>
    </row>
    <row r="8" spans="1:14" x14ac:dyDescent="0.35">
      <c r="A8" s="4" t="s">
        <v>57</v>
      </c>
      <c r="B8" s="2">
        <v>510</v>
      </c>
      <c r="C8" s="2">
        <v>8513.85</v>
      </c>
      <c r="N8" s="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5BA5D-A8EA-4B9D-9EAC-7BD525E37105}">
  <dimension ref="A3:C8"/>
  <sheetViews>
    <sheetView workbookViewId="0">
      <selection activeCell="M18" sqref="M18"/>
    </sheetView>
  </sheetViews>
  <sheetFormatPr defaultRowHeight="14.5" x14ac:dyDescent="0.35"/>
  <cols>
    <col min="1" max="1" width="12.36328125" bestFit="1" customWidth="1"/>
    <col min="2" max="2" width="14.26953125" bestFit="1" customWidth="1"/>
    <col min="3" max="3" width="16.26953125" bestFit="1" customWidth="1"/>
  </cols>
  <sheetData>
    <row r="3" spans="1:3" x14ac:dyDescent="0.35">
      <c r="A3" s="3" t="s">
        <v>66</v>
      </c>
      <c r="B3" t="s">
        <v>56</v>
      </c>
      <c r="C3" t="s">
        <v>62</v>
      </c>
    </row>
    <row r="4" spans="1:3" x14ac:dyDescent="0.35">
      <c r="A4" s="4" t="s">
        <v>13</v>
      </c>
      <c r="B4" s="2">
        <v>221</v>
      </c>
      <c r="C4" s="2">
        <v>4393.9499999999989</v>
      </c>
    </row>
    <row r="5" spans="1:3" x14ac:dyDescent="0.35">
      <c r="A5" s="4" t="s">
        <v>9</v>
      </c>
      <c r="B5" s="2">
        <v>144</v>
      </c>
      <c r="C5" s="2">
        <v>2290.75</v>
      </c>
    </row>
    <row r="6" spans="1:3" x14ac:dyDescent="0.35">
      <c r="A6" s="4" t="s">
        <v>22</v>
      </c>
      <c r="B6" s="2">
        <v>139</v>
      </c>
      <c r="C6" s="2">
        <v>1676.15</v>
      </c>
    </row>
    <row r="7" spans="1:3" x14ac:dyDescent="0.35">
      <c r="A7" s="4" t="s">
        <v>47</v>
      </c>
      <c r="B7" s="2">
        <v>6</v>
      </c>
      <c r="C7" s="2">
        <v>153</v>
      </c>
    </row>
    <row r="8" spans="1:3" x14ac:dyDescent="0.35">
      <c r="A8" s="4" t="s">
        <v>57</v>
      </c>
      <c r="B8" s="2">
        <v>510</v>
      </c>
      <c r="C8" s="2">
        <v>8513.8499999999985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7B4AD-725E-4E61-848B-D9B94A285C11}">
  <dimension ref="A3:C8"/>
  <sheetViews>
    <sheetView workbookViewId="0">
      <selection activeCell="N18" sqref="N18"/>
    </sheetView>
  </sheetViews>
  <sheetFormatPr defaultRowHeight="14.5" x14ac:dyDescent="0.35"/>
  <cols>
    <col min="1" max="1" width="12.36328125" bestFit="1" customWidth="1"/>
    <col min="2" max="2" width="14.26953125" bestFit="1" customWidth="1"/>
    <col min="3" max="3" width="16.26953125" bestFit="1" customWidth="1"/>
  </cols>
  <sheetData>
    <row r="3" spans="1:3" x14ac:dyDescent="0.35">
      <c r="A3" s="3" t="s">
        <v>67</v>
      </c>
      <c r="B3" t="s">
        <v>56</v>
      </c>
      <c r="C3" t="s">
        <v>62</v>
      </c>
    </row>
    <row r="4" spans="1:3" x14ac:dyDescent="0.35">
      <c r="A4" s="4" t="s">
        <v>19</v>
      </c>
      <c r="B4" s="2">
        <v>117</v>
      </c>
      <c r="C4" s="2">
        <v>2103.75</v>
      </c>
    </row>
    <row r="5" spans="1:3" x14ac:dyDescent="0.35">
      <c r="A5" s="4" t="s">
        <v>10</v>
      </c>
      <c r="B5" s="2">
        <v>159</v>
      </c>
      <c r="C5" s="2">
        <v>2349</v>
      </c>
    </row>
    <row r="6" spans="1:3" x14ac:dyDescent="0.35">
      <c r="A6" s="4" t="s">
        <v>16</v>
      </c>
      <c r="B6" s="2">
        <v>121</v>
      </c>
      <c r="C6" s="2">
        <v>2127.4</v>
      </c>
    </row>
    <row r="7" spans="1:3" x14ac:dyDescent="0.35">
      <c r="A7" s="4" t="s">
        <v>14</v>
      </c>
      <c r="B7" s="2">
        <v>113</v>
      </c>
      <c r="C7" s="2">
        <v>1933.7000000000005</v>
      </c>
    </row>
    <row r="8" spans="1:3" x14ac:dyDescent="0.35">
      <c r="A8" s="4" t="s">
        <v>57</v>
      </c>
      <c r="B8" s="2">
        <v>510</v>
      </c>
      <c r="C8" s="2">
        <v>8513.85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58508-60F8-40DD-9A4B-9A2D5C7B41FC}">
  <dimension ref="A3:C36"/>
  <sheetViews>
    <sheetView workbookViewId="0">
      <selection activeCell="G20" sqref="G20"/>
    </sheetView>
  </sheetViews>
  <sheetFormatPr defaultRowHeight="14.5" x14ac:dyDescent="0.35"/>
  <cols>
    <col min="1" max="1" width="39.54296875" bestFit="1" customWidth="1"/>
    <col min="2" max="2" width="14.26953125" bestFit="1" customWidth="1"/>
    <col min="3" max="3" width="16.26953125" bestFit="1" customWidth="1"/>
  </cols>
  <sheetData>
    <row r="3" spans="1:3" x14ac:dyDescent="0.35">
      <c r="A3" s="3" t="s">
        <v>68</v>
      </c>
      <c r="B3" t="s">
        <v>56</v>
      </c>
      <c r="C3" t="s">
        <v>62</v>
      </c>
    </row>
    <row r="4" spans="1:3" x14ac:dyDescent="0.35">
      <c r="A4" s="4" t="s">
        <v>23</v>
      </c>
      <c r="B4" s="2">
        <v>29</v>
      </c>
      <c r="C4" s="2">
        <v>517.75</v>
      </c>
    </row>
    <row r="5" spans="1:3" x14ac:dyDescent="0.35">
      <c r="A5" s="4" t="s">
        <v>35</v>
      </c>
      <c r="B5" s="2">
        <v>21</v>
      </c>
      <c r="C5" s="2">
        <v>252</v>
      </c>
    </row>
    <row r="6" spans="1:3" x14ac:dyDescent="0.35">
      <c r="A6" s="4" t="s">
        <v>48</v>
      </c>
      <c r="B6" s="2">
        <v>1</v>
      </c>
      <c r="C6" s="2">
        <v>23.65</v>
      </c>
    </row>
    <row r="7" spans="1:3" x14ac:dyDescent="0.35">
      <c r="A7" s="4" t="s">
        <v>39</v>
      </c>
      <c r="B7" s="2">
        <v>2</v>
      </c>
      <c r="C7" s="2">
        <v>32.5</v>
      </c>
    </row>
    <row r="8" spans="1:3" x14ac:dyDescent="0.35">
      <c r="A8" s="4" t="s">
        <v>32</v>
      </c>
      <c r="B8" s="2">
        <v>24</v>
      </c>
      <c r="C8" s="2">
        <v>438</v>
      </c>
    </row>
    <row r="9" spans="1:3" x14ac:dyDescent="0.35">
      <c r="A9" s="4" t="s">
        <v>45</v>
      </c>
      <c r="B9" s="2">
        <v>10</v>
      </c>
      <c r="C9" s="2">
        <v>175.5</v>
      </c>
    </row>
    <row r="10" spans="1:3" x14ac:dyDescent="0.35">
      <c r="A10" s="4" t="s">
        <v>34</v>
      </c>
      <c r="B10" s="2">
        <v>9</v>
      </c>
      <c r="C10" s="2">
        <v>162.75</v>
      </c>
    </row>
    <row r="11" spans="1:3" x14ac:dyDescent="0.35">
      <c r="A11" s="4" t="s">
        <v>12</v>
      </c>
      <c r="B11" s="2">
        <v>21</v>
      </c>
      <c r="C11" s="2">
        <v>330</v>
      </c>
    </row>
    <row r="12" spans="1:3" x14ac:dyDescent="0.35">
      <c r="A12" s="4" t="s">
        <v>15</v>
      </c>
      <c r="B12" s="2">
        <v>17</v>
      </c>
      <c r="C12" s="2">
        <v>314.5</v>
      </c>
    </row>
    <row r="13" spans="1:3" x14ac:dyDescent="0.35">
      <c r="A13" s="4" t="s">
        <v>37</v>
      </c>
      <c r="B13" s="2">
        <v>17</v>
      </c>
      <c r="C13" s="2">
        <v>285.94999999999993</v>
      </c>
    </row>
    <row r="14" spans="1:3" x14ac:dyDescent="0.35">
      <c r="A14" s="4" t="s">
        <v>24</v>
      </c>
      <c r="B14" s="2">
        <v>21</v>
      </c>
      <c r="C14" s="2">
        <v>361</v>
      </c>
    </row>
    <row r="15" spans="1:3" x14ac:dyDescent="0.35">
      <c r="A15" s="4" t="s">
        <v>26</v>
      </c>
      <c r="B15" s="2">
        <v>9</v>
      </c>
      <c r="C15" s="2">
        <v>124.25</v>
      </c>
    </row>
    <row r="16" spans="1:3" x14ac:dyDescent="0.35">
      <c r="A16" s="4" t="s">
        <v>11</v>
      </c>
      <c r="B16" s="2">
        <v>22</v>
      </c>
      <c r="C16" s="2">
        <v>302</v>
      </c>
    </row>
    <row r="17" spans="1:3" x14ac:dyDescent="0.35">
      <c r="A17" s="4" t="s">
        <v>27</v>
      </c>
      <c r="B17" s="2">
        <v>20</v>
      </c>
      <c r="C17" s="2">
        <v>361.5</v>
      </c>
    </row>
    <row r="18" spans="1:3" x14ac:dyDescent="0.35">
      <c r="A18" s="4" t="s">
        <v>17</v>
      </c>
      <c r="B18" s="2">
        <v>28</v>
      </c>
      <c r="C18" s="2">
        <v>509.25</v>
      </c>
    </row>
    <row r="19" spans="1:3" x14ac:dyDescent="0.35">
      <c r="A19" s="4" t="s">
        <v>40</v>
      </c>
      <c r="B19" s="2">
        <v>10</v>
      </c>
      <c r="C19" s="2">
        <v>164.25</v>
      </c>
    </row>
    <row r="20" spans="1:3" x14ac:dyDescent="0.35">
      <c r="A20" s="4" t="s">
        <v>41</v>
      </c>
      <c r="B20" s="2">
        <v>7</v>
      </c>
      <c r="C20" s="2">
        <v>120.75</v>
      </c>
    </row>
    <row r="21" spans="1:3" x14ac:dyDescent="0.35">
      <c r="A21" s="4" t="s">
        <v>18</v>
      </c>
      <c r="B21" s="2">
        <v>19</v>
      </c>
      <c r="C21" s="2">
        <v>342.75</v>
      </c>
    </row>
    <row r="22" spans="1:3" x14ac:dyDescent="0.35">
      <c r="A22" s="4" t="s">
        <v>38</v>
      </c>
      <c r="B22" s="2">
        <v>15</v>
      </c>
      <c r="C22" s="2">
        <v>247</v>
      </c>
    </row>
    <row r="23" spans="1:3" x14ac:dyDescent="0.35">
      <c r="A23" s="4" t="s">
        <v>42</v>
      </c>
      <c r="B23" s="2">
        <v>13</v>
      </c>
      <c r="C23" s="2">
        <v>228</v>
      </c>
    </row>
    <row r="24" spans="1:3" x14ac:dyDescent="0.35">
      <c r="A24" s="4" t="s">
        <v>33</v>
      </c>
      <c r="B24" s="2">
        <v>29</v>
      </c>
      <c r="C24" s="2">
        <v>362.5</v>
      </c>
    </row>
    <row r="25" spans="1:3" x14ac:dyDescent="0.35">
      <c r="A25" s="4" t="s">
        <v>46</v>
      </c>
      <c r="B25" s="2">
        <v>10</v>
      </c>
      <c r="C25" s="2">
        <v>133</v>
      </c>
    </row>
    <row r="26" spans="1:3" x14ac:dyDescent="0.35">
      <c r="A26" s="4" t="s">
        <v>21</v>
      </c>
      <c r="B26" s="2">
        <v>16</v>
      </c>
      <c r="C26" s="2">
        <v>261.5</v>
      </c>
    </row>
    <row r="27" spans="1:3" x14ac:dyDescent="0.35">
      <c r="A27" s="4" t="s">
        <v>44</v>
      </c>
      <c r="B27" s="2">
        <v>17</v>
      </c>
      <c r="C27" s="2">
        <v>284.25</v>
      </c>
    </row>
    <row r="28" spans="1:3" x14ac:dyDescent="0.35">
      <c r="A28" s="4" t="s">
        <v>36</v>
      </c>
      <c r="B28" s="2">
        <v>6</v>
      </c>
      <c r="C28" s="2">
        <v>124.5</v>
      </c>
    </row>
    <row r="29" spans="1:3" x14ac:dyDescent="0.35">
      <c r="A29" s="4" t="s">
        <v>31</v>
      </c>
      <c r="B29" s="2">
        <v>18</v>
      </c>
      <c r="C29" s="2">
        <v>317.5</v>
      </c>
    </row>
    <row r="30" spans="1:3" x14ac:dyDescent="0.35">
      <c r="A30" s="4" t="s">
        <v>28</v>
      </c>
      <c r="B30" s="2">
        <v>23</v>
      </c>
      <c r="C30" s="2">
        <v>435.5</v>
      </c>
    </row>
    <row r="31" spans="1:3" x14ac:dyDescent="0.35">
      <c r="A31" s="4" t="s">
        <v>43</v>
      </c>
      <c r="B31" s="2">
        <v>9</v>
      </c>
      <c r="C31" s="2">
        <v>153.25</v>
      </c>
    </row>
    <row r="32" spans="1:3" x14ac:dyDescent="0.35">
      <c r="A32" s="4" t="s">
        <v>29</v>
      </c>
      <c r="B32" s="2">
        <v>10</v>
      </c>
      <c r="C32" s="2">
        <v>170.25</v>
      </c>
    </row>
    <row r="33" spans="1:3" x14ac:dyDescent="0.35">
      <c r="A33" s="4" t="s">
        <v>25</v>
      </c>
      <c r="B33" s="2">
        <v>15</v>
      </c>
      <c r="C33" s="2">
        <v>228.25</v>
      </c>
    </row>
    <row r="34" spans="1:3" x14ac:dyDescent="0.35">
      <c r="A34" s="4" t="s">
        <v>20</v>
      </c>
      <c r="B34" s="2">
        <v>27</v>
      </c>
      <c r="C34" s="2">
        <v>492.25</v>
      </c>
    </row>
    <row r="35" spans="1:3" x14ac:dyDescent="0.35">
      <c r="A35" s="4" t="s">
        <v>30</v>
      </c>
      <c r="B35" s="2">
        <v>15</v>
      </c>
      <c r="C35" s="2">
        <v>257.75</v>
      </c>
    </row>
    <row r="36" spans="1:3" x14ac:dyDescent="0.35">
      <c r="A36" s="4" t="s">
        <v>57</v>
      </c>
      <c r="B36" s="2">
        <v>510</v>
      </c>
      <c r="C36" s="2">
        <v>8513.85</v>
      </c>
    </row>
  </sheetData>
  <sortState xmlns:xlrd2="http://schemas.microsoft.com/office/spreadsheetml/2017/richdata2" columnSort="1" ref="A3:C36">
    <sortCondition ref="C3"/>
  </sortState>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92674-0374-4118-BAFE-B4D8B7642FD6}">
  <dimension ref="A1:B6"/>
  <sheetViews>
    <sheetView topLeftCell="B1" workbookViewId="0">
      <selection activeCell="B12" sqref="B12"/>
    </sheetView>
  </sheetViews>
  <sheetFormatPr defaultRowHeight="14.5" x14ac:dyDescent="0.35"/>
  <cols>
    <col min="1" max="1" width="16.453125" customWidth="1"/>
    <col min="2" max="2" width="17.90625" customWidth="1"/>
  </cols>
  <sheetData>
    <row r="1" spans="1:2" x14ac:dyDescent="0.35">
      <c r="A1" t="s">
        <v>63</v>
      </c>
      <c r="B1" t="s">
        <v>64</v>
      </c>
    </row>
    <row r="2" spans="1:2" x14ac:dyDescent="0.35">
      <c r="A2" t="s">
        <v>58</v>
      </c>
      <c r="B2">
        <v>162</v>
      </c>
    </row>
    <row r="3" spans="1:2" x14ac:dyDescent="0.35">
      <c r="A3" t="s">
        <v>59</v>
      </c>
      <c r="B3">
        <v>165</v>
      </c>
    </row>
    <row r="4" spans="1:2" x14ac:dyDescent="0.35">
      <c r="A4" t="s">
        <v>60</v>
      </c>
      <c r="B4">
        <v>158</v>
      </c>
    </row>
    <row r="5" spans="1:2" x14ac:dyDescent="0.35">
      <c r="A5" t="s">
        <v>61</v>
      </c>
      <c r="B5">
        <v>25</v>
      </c>
    </row>
    <row r="6" spans="1:2" x14ac:dyDescent="0.35">
      <c r="A6" t="s">
        <v>57</v>
      </c>
      <c r="B6">
        <v>510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EF99-38E8-40F5-95FD-234CB74DFAFF}">
  <dimension ref="A1:B6"/>
  <sheetViews>
    <sheetView workbookViewId="0">
      <selection activeCell="B14" sqref="B14"/>
    </sheetView>
  </sheetViews>
  <sheetFormatPr defaultRowHeight="14.5" x14ac:dyDescent="0.35"/>
  <cols>
    <col min="1" max="1" width="14.7265625" customWidth="1"/>
    <col min="2" max="2" width="17.54296875" customWidth="1"/>
  </cols>
  <sheetData>
    <row r="1" spans="1:2" x14ac:dyDescent="0.35">
      <c r="A1" t="s">
        <v>65</v>
      </c>
      <c r="B1" t="s">
        <v>62</v>
      </c>
    </row>
    <row r="2" spans="1:2" x14ac:dyDescent="0.35">
      <c r="A2" t="s">
        <v>58</v>
      </c>
      <c r="B2" s="2">
        <v>2713.8500000000004</v>
      </c>
    </row>
    <row r="3" spans="1:2" x14ac:dyDescent="0.35">
      <c r="A3" t="s">
        <v>59</v>
      </c>
      <c r="B3" s="2">
        <v>2731.8999999999996</v>
      </c>
    </row>
    <row r="4" spans="1:2" x14ac:dyDescent="0.35">
      <c r="A4" t="s">
        <v>60</v>
      </c>
      <c r="B4" s="2">
        <v>2662.3999999999996</v>
      </c>
    </row>
    <row r="5" spans="1:2" x14ac:dyDescent="0.35">
      <c r="A5" t="s">
        <v>61</v>
      </c>
      <c r="B5" s="2">
        <v>405.7</v>
      </c>
    </row>
    <row r="6" spans="1:2" x14ac:dyDescent="0.35">
      <c r="A6" t="s">
        <v>57</v>
      </c>
      <c r="B6" s="2">
        <v>8513.85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B7E93-3600-448F-B1D4-A8485396C089}">
  <dimension ref="A1:B6"/>
  <sheetViews>
    <sheetView workbookViewId="0">
      <selection activeCell="C18" sqref="C18"/>
    </sheetView>
  </sheetViews>
  <sheetFormatPr defaultRowHeight="14.5" x14ac:dyDescent="0.35"/>
  <cols>
    <col min="1" max="1" width="13" customWidth="1"/>
    <col min="2" max="2" width="18" customWidth="1"/>
  </cols>
  <sheetData>
    <row r="1" spans="1:2" x14ac:dyDescent="0.35">
      <c r="A1" t="s">
        <v>66</v>
      </c>
      <c r="B1" t="s">
        <v>69</v>
      </c>
    </row>
    <row r="2" spans="1:2" x14ac:dyDescent="0.35">
      <c r="A2" t="s">
        <v>13</v>
      </c>
      <c r="B2">
        <v>221</v>
      </c>
    </row>
    <row r="3" spans="1:2" x14ac:dyDescent="0.35">
      <c r="A3" t="s">
        <v>9</v>
      </c>
      <c r="B3">
        <v>144</v>
      </c>
    </row>
    <row r="4" spans="1:2" x14ac:dyDescent="0.35">
      <c r="A4" t="s">
        <v>22</v>
      </c>
      <c r="B4">
        <v>139</v>
      </c>
    </row>
    <row r="5" spans="1:2" x14ac:dyDescent="0.35">
      <c r="A5" t="s">
        <v>47</v>
      </c>
      <c r="B5">
        <v>6</v>
      </c>
    </row>
    <row r="6" spans="1:2" x14ac:dyDescent="0.35">
      <c r="A6" t="s">
        <v>57</v>
      </c>
      <c r="B6">
        <v>510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046C2-964F-4961-AB01-AFB795520AED}">
  <dimension ref="A1:B6"/>
  <sheetViews>
    <sheetView workbookViewId="0">
      <selection activeCell="B13" sqref="B13"/>
    </sheetView>
  </sheetViews>
  <sheetFormatPr defaultRowHeight="14.5" x14ac:dyDescent="0.35"/>
  <cols>
    <col min="1" max="1" width="17.08984375" customWidth="1"/>
    <col min="2" max="2" width="18" customWidth="1"/>
  </cols>
  <sheetData>
    <row r="1" spans="1:2" x14ac:dyDescent="0.35">
      <c r="A1" t="s">
        <v>66</v>
      </c>
      <c r="B1" t="s">
        <v>62</v>
      </c>
    </row>
    <row r="2" spans="1:2" x14ac:dyDescent="0.35">
      <c r="A2" t="s">
        <v>13</v>
      </c>
      <c r="B2">
        <v>4393.9499999999989</v>
      </c>
    </row>
    <row r="3" spans="1:2" x14ac:dyDescent="0.35">
      <c r="A3" t="s">
        <v>9</v>
      </c>
      <c r="B3">
        <v>2290.75</v>
      </c>
    </row>
    <row r="4" spans="1:2" x14ac:dyDescent="0.35">
      <c r="A4" t="s">
        <v>22</v>
      </c>
      <c r="B4">
        <v>1676.15</v>
      </c>
    </row>
    <row r="5" spans="1:2" x14ac:dyDescent="0.35">
      <c r="A5" t="s">
        <v>47</v>
      </c>
      <c r="B5">
        <v>153</v>
      </c>
    </row>
    <row r="6" spans="1:2" x14ac:dyDescent="0.35">
      <c r="A6" t="s">
        <v>57</v>
      </c>
      <c r="B6">
        <v>8513.8499999999985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66331-5D9F-482F-8236-516DA209D811}">
  <dimension ref="A1:B6"/>
  <sheetViews>
    <sheetView workbookViewId="0">
      <selection activeCell="B15" sqref="B15"/>
    </sheetView>
  </sheetViews>
  <sheetFormatPr defaultRowHeight="14.5" x14ac:dyDescent="0.35"/>
  <cols>
    <col min="1" max="1" width="15.54296875" customWidth="1"/>
    <col min="2" max="2" width="18.54296875" customWidth="1"/>
  </cols>
  <sheetData>
    <row r="1" spans="1:2" x14ac:dyDescent="0.35">
      <c r="A1" t="s">
        <v>67</v>
      </c>
      <c r="B1" t="s">
        <v>69</v>
      </c>
    </row>
    <row r="2" spans="1:2" x14ac:dyDescent="0.35">
      <c r="A2" t="s">
        <v>19</v>
      </c>
      <c r="B2">
        <v>117</v>
      </c>
    </row>
    <row r="3" spans="1:2" x14ac:dyDescent="0.35">
      <c r="A3" t="s">
        <v>10</v>
      </c>
      <c r="B3">
        <v>159</v>
      </c>
    </row>
    <row r="4" spans="1:2" x14ac:dyDescent="0.35">
      <c r="A4" t="s">
        <v>16</v>
      </c>
      <c r="B4">
        <v>121</v>
      </c>
    </row>
    <row r="5" spans="1:2" x14ac:dyDescent="0.35">
      <c r="A5" t="s">
        <v>14</v>
      </c>
      <c r="B5">
        <v>113</v>
      </c>
    </row>
    <row r="6" spans="1:2" x14ac:dyDescent="0.35">
      <c r="A6" t="s">
        <v>57</v>
      </c>
      <c r="B6">
        <v>510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92948-8D42-4366-BEA4-243F9D134D6C}">
  <dimension ref="A1:B6"/>
  <sheetViews>
    <sheetView workbookViewId="0">
      <selection activeCell="B13" sqref="B13"/>
    </sheetView>
  </sheetViews>
  <sheetFormatPr defaultRowHeight="14.5" x14ac:dyDescent="0.35"/>
  <cols>
    <col min="1" max="1" width="16.81640625" customWidth="1"/>
    <col min="2" max="2" width="18" customWidth="1"/>
  </cols>
  <sheetData>
    <row r="1" spans="1:2" x14ac:dyDescent="0.35">
      <c r="A1" t="s">
        <v>67</v>
      </c>
      <c r="B1" t="s">
        <v>62</v>
      </c>
    </row>
    <row r="2" spans="1:2" x14ac:dyDescent="0.35">
      <c r="A2" t="s">
        <v>19</v>
      </c>
      <c r="B2">
        <v>2103.75</v>
      </c>
    </row>
    <row r="3" spans="1:2" x14ac:dyDescent="0.35">
      <c r="A3" t="s">
        <v>10</v>
      </c>
      <c r="B3">
        <v>2349</v>
      </c>
    </row>
    <row r="4" spans="1:2" x14ac:dyDescent="0.35">
      <c r="A4" t="s">
        <v>16</v>
      </c>
      <c r="B4">
        <v>2127.4</v>
      </c>
    </row>
    <row r="5" spans="1:2" x14ac:dyDescent="0.35">
      <c r="A5" t="s">
        <v>14</v>
      </c>
      <c r="B5">
        <v>1933.7000000000005</v>
      </c>
    </row>
    <row r="6" spans="1:2" x14ac:dyDescent="0.35">
      <c r="A6" t="s">
        <v>57</v>
      </c>
      <c r="B6">
        <v>8513.85</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D9CE6-DA6C-4B53-952B-F42BDED58936}">
  <dimension ref="A1:B34"/>
  <sheetViews>
    <sheetView topLeftCell="A29" workbookViewId="0">
      <selection activeCell="I45" sqref="I45"/>
    </sheetView>
  </sheetViews>
  <sheetFormatPr defaultRowHeight="14.5" x14ac:dyDescent="0.35"/>
  <cols>
    <col min="1" max="1" width="29.90625" customWidth="1"/>
    <col min="2" max="2" width="19.26953125" customWidth="1"/>
  </cols>
  <sheetData>
    <row r="1" spans="1:2" x14ac:dyDescent="0.35">
      <c r="A1" t="s">
        <v>68</v>
      </c>
      <c r="B1" t="s">
        <v>64</v>
      </c>
    </row>
    <row r="2" spans="1:2" x14ac:dyDescent="0.35">
      <c r="A2" t="s">
        <v>23</v>
      </c>
      <c r="B2">
        <v>29</v>
      </c>
    </row>
    <row r="3" spans="1:2" x14ac:dyDescent="0.35">
      <c r="A3" t="s">
        <v>35</v>
      </c>
      <c r="B3">
        <v>21</v>
      </c>
    </row>
    <row r="4" spans="1:2" x14ac:dyDescent="0.35">
      <c r="A4" t="s">
        <v>48</v>
      </c>
      <c r="B4">
        <v>1</v>
      </c>
    </row>
    <row r="5" spans="1:2" x14ac:dyDescent="0.35">
      <c r="A5" t="s">
        <v>39</v>
      </c>
      <c r="B5">
        <v>2</v>
      </c>
    </row>
    <row r="6" spans="1:2" x14ac:dyDescent="0.35">
      <c r="A6" t="s">
        <v>32</v>
      </c>
      <c r="B6">
        <v>24</v>
      </c>
    </row>
    <row r="7" spans="1:2" x14ac:dyDescent="0.35">
      <c r="A7" t="s">
        <v>45</v>
      </c>
      <c r="B7">
        <v>10</v>
      </c>
    </row>
    <row r="8" spans="1:2" x14ac:dyDescent="0.35">
      <c r="A8" t="s">
        <v>34</v>
      </c>
      <c r="B8">
        <v>9</v>
      </c>
    </row>
    <row r="9" spans="1:2" x14ac:dyDescent="0.35">
      <c r="A9" t="s">
        <v>12</v>
      </c>
      <c r="B9">
        <v>21</v>
      </c>
    </row>
    <row r="10" spans="1:2" x14ac:dyDescent="0.35">
      <c r="A10" t="s">
        <v>15</v>
      </c>
      <c r="B10">
        <v>17</v>
      </c>
    </row>
    <row r="11" spans="1:2" x14ac:dyDescent="0.35">
      <c r="A11" t="s">
        <v>37</v>
      </c>
      <c r="B11">
        <v>17</v>
      </c>
    </row>
    <row r="12" spans="1:2" x14ac:dyDescent="0.35">
      <c r="A12" t="s">
        <v>24</v>
      </c>
      <c r="B12">
        <v>21</v>
      </c>
    </row>
    <row r="13" spans="1:2" x14ac:dyDescent="0.35">
      <c r="A13" t="s">
        <v>26</v>
      </c>
      <c r="B13">
        <v>9</v>
      </c>
    </row>
    <row r="14" spans="1:2" x14ac:dyDescent="0.35">
      <c r="A14" t="s">
        <v>11</v>
      </c>
      <c r="B14">
        <v>22</v>
      </c>
    </row>
    <row r="15" spans="1:2" x14ac:dyDescent="0.35">
      <c r="A15" t="s">
        <v>27</v>
      </c>
      <c r="B15">
        <v>20</v>
      </c>
    </row>
    <row r="16" spans="1:2" x14ac:dyDescent="0.35">
      <c r="A16" t="s">
        <v>17</v>
      </c>
      <c r="B16">
        <v>28</v>
      </c>
    </row>
    <row r="17" spans="1:2" x14ac:dyDescent="0.35">
      <c r="A17" t="s">
        <v>40</v>
      </c>
      <c r="B17">
        <v>10</v>
      </c>
    </row>
    <row r="18" spans="1:2" x14ac:dyDescent="0.35">
      <c r="A18" t="s">
        <v>41</v>
      </c>
      <c r="B18">
        <v>7</v>
      </c>
    </row>
    <row r="19" spans="1:2" x14ac:dyDescent="0.35">
      <c r="A19" t="s">
        <v>18</v>
      </c>
      <c r="B19">
        <v>19</v>
      </c>
    </row>
    <row r="20" spans="1:2" x14ac:dyDescent="0.35">
      <c r="A20" t="s">
        <v>38</v>
      </c>
      <c r="B20">
        <v>15</v>
      </c>
    </row>
    <row r="21" spans="1:2" x14ac:dyDescent="0.35">
      <c r="A21" t="s">
        <v>42</v>
      </c>
      <c r="B21">
        <v>13</v>
      </c>
    </row>
    <row r="22" spans="1:2" x14ac:dyDescent="0.35">
      <c r="A22" t="s">
        <v>33</v>
      </c>
      <c r="B22">
        <v>29</v>
      </c>
    </row>
    <row r="23" spans="1:2" x14ac:dyDescent="0.35">
      <c r="A23" t="s">
        <v>46</v>
      </c>
      <c r="B23">
        <v>10</v>
      </c>
    </row>
    <row r="24" spans="1:2" x14ac:dyDescent="0.35">
      <c r="A24" t="s">
        <v>21</v>
      </c>
      <c r="B24">
        <v>16</v>
      </c>
    </row>
    <row r="25" spans="1:2" x14ac:dyDescent="0.35">
      <c r="A25" t="s">
        <v>44</v>
      </c>
      <c r="B25">
        <v>17</v>
      </c>
    </row>
    <row r="26" spans="1:2" x14ac:dyDescent="0.35">
      <c r="A26" t="s">
        <v>36</v>
      </c>
      <c r="B26">
        <v>6</v>
      </c>
    </row>
    <row r="27" spans="1:2" x14ac:dyDescent="0.35">
      <c r="A27" t="s">
        <v>31</v>
      </c>
      <c r="B27">
        <v>18</v>
      </c>
    </row>
    <row r="28" spans="1:2" x14ac:dyDescent="0.35">
      <c r="A28" t="s">
        <v>28</v>
      </c>
      <c r="B28">
        <v>23</v>
      </c>
    </row>
    <row r="29" spans="1:2" x14ac:dyDescent="0.35">
      <c r="A29" t="s">
        <v>43</v>
      </c>
      <c r="B29">
        <v>9</v>
      </c>
    </row>
    <row r="30" spans="1:2" x14ac:dyDescent="0.35">
      <c r="A30" t="s">
        <v>29</v>
      </c>
      <c r="B30">
        <v>10</v>
      </c>
    </row>
    <row r="31" spans="1:2" x14ac:dyDescent="0.35">
      <c r="A31" t="s">
        <v>25</v>
      </c>
      <c r="B31">
        <v>15</v>
      </c>
    </row>
    <row r="32" spans="1:2" x14ac:dyDescent="0.35">
      <c r="A32" t="s">
        <v>20</v>
      </c>
      <c r="B32">
        <v>27</v>
      </c>
    </row>
    <row r="33" spans="1:2" x14ac:dyDescent="0.35">
      <c r="A33" t="s">
        <v>30</v>
      </c>
      <c r="B33">
        <v>15</v>
      </c>
    </row>
    <row r="34" spans="1:2" x14ac:dyDescent="0.35">
      <c r="A34" t="s">
        <v>57</v>
      </c>
      <c r="B34">
        <v>510</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51AB0-3D20-4B86-BF8E-81F0C989A936}">
  <dimension ref="A1:B34"/>
  <sheetViews>
    <sheetView workbookViewId="0">
      <selection activeCell="K30" sqref="K30"/>
    </sheetView>
  </sheetViews>
  <sheetFormatPr defaultRowHeight="14.5" x14ac:dyDescent="0.35"/>
  <cols>
    <col min="1" max="1" width="26.54296875" customWidth="1"/>
    <col min="2" max="2" width="17.81640625" customWidth="1"/>
  </cols>
  <sheetData>
    <row r="1" spans="1:2" x14ac:dyDescent="0.35">
      <c r="A1" t="s">
        <v>68</v>
      </c>
      <c r="B1" t="s">
        <v>62</v>
      </c>
    </row>
    <row r="2" spans="1:2" x14ac:dyDescent="0.35">
      <c r="A2" t="s">
        <v>23</v>
      </c>
      <c r="B2">
        <v>517.75</v>
      </c>
    </row>
    <row r="3" spans="1:2" x14ac:dyDescent="0.35">
      <c r="A3" t="s">
        <v>35</v>
      </c>
      <c r="B3">
        <v>252</v>
      </c>
    </row>
    <row r="4" spans="1:2" x14ac:dyDescent="0.35">
      <c r="A4" t="s">
        <v>48</v>
      </c>
      <c r="B4">
        <v>23.65</v>
      </c>
    </row>
    <row r="5" spans="1:2" x14ac:dyDescent="0.35">
      <c r="A5" t="s">
        <v>39</v>
      </c>
      <c r="B5">
        <v>32.5</v>
      </c>
    </row>
    <row r="6" spans="1:2" x14ac:dyDescent="0.35">
      <c r="A6" t="s">
        <v>32</v>
      </c>
      <c r="B6">
        <v>438</v>
      </c>
    </row>
    <row r="7" spans="1:2" x14ac:dyDescent="0.35">
      <c r="A7" t="s">
        <v>45</v>
      </c>
      <c r="B7">
        <v>175.5</v>
      </c>
    </row>
    <row r="8" spans="1:2" x14ac:dyDescent="0.35">
      <c r="A8" t="s">
        <v>34</v>
      </c>
      <c r="B8">
        <v>162.75</v>
      </c>
    </row>
    <row r="9" spans="1:2" x14ac:dyDescent="0.35">
      <c r="A9" t="s">
        <v>12</v>
      </c>
      <c r="B9">
        <v>330</v>
      </c>
    </row>
    <row r="10" spans="1:2" x14ac:dyDescent="0.35">
      <c r="A10" t="s">
        <v>15</v>
      </c>
      <c r="B10">
        <v>314.5</v>
      </c>
    </row>
    <row r="11" spans="1:2" x14ac:dyDescent="0.35">
      <c r="A11" t="s">
        <v>37</v>
      </c>
      <c r="B11">
        <v>285.94999999999993</v>
      </c>
    </row>
    <row r="12" spans="1:2" x14ac:dyDescent="0.35">
      <c r="A12" t="s">
        <v>24</v>
      </c>
      <c r="B12">
        <v>361</v>
      </c>
    </row>
    <row r="13" spans="1:2" x14ac:dyDescent="0.35">
      <c r="A13" t="s">
        <v>26</v>
      </c>
      <c r="B13">
        <v>124.25</v>
      </c>
    </row>
    <row r="14" spans="1:2" x14ac:dyDescent="0.35">
      <c r="A14" t="s">
        <v>11</v>
      </c>
      <c r="B14">
        <v>302</v>
      </c>
    </row>
    <row r="15" spans="1:2" x14ac:dyDescent="0.35">
      <c r="A15" t="s">
        <v>27</v>
      </c>
      <c r="B15">
        <v>361.5</v>
      </c>
    </row>
    <row r="16" spans="1:2" x14ac:dyDescent="0.35">
      <c r="A16" t="s">
        <v>17</v>
      </c>
      <c r="B16">
        <v>509.25</v>
      </c>
    </row>
    <row r="17" spans="1:2" x14ac:dyDescent="0.35">
      <c r="A17" t="s">
        <v>40</v>
      </c>
      <c r="B17">
        <v>164.25</v>
      </c>
    </row>
    <row r="18" spans="1:2" x14ac:dyDescent="0.35">
      <c r="A18" t="s">
        <v>41</v>
      </c>
      <c r="B18">
        <v>120.75</v>
      </c>
    </row>
    <row r="19" spans="1:2" x14ac:dyDescent="0.35">
      <c r="A19" t="s">
        <v>18</v>
      </c>
      <c r="B19">
        <v>342.75</v>
      </c>
    </row>
    <row r="20" spans="1:2" x14ac:dyDescent="0.35">
      <c r="A20" t="s">
        <v>38</v>
      </c>
      <c r="B20">
        <v>247</v>
      </c>
    </row>
    <row r="21" spans="1:2" x14ac:dyDescent="0.35">
      <c r="A21" t="s">
        <v>42</v>
      </c>
      <c r="B21">
        <v>228</v>
      </c>
    </row>
    <row r="22" spans="1:2" x14ac:dyDescent="0.35">
      <c r="A22" t="s">
        <v>33</v>
      </c>
      <c r="B22">
        <v>362.5</v>
      </c>
    </row>
    <row r="23" spans="1:2" x14ac:dyDescent="0.35">
      <c r="A23" t="s">
        <v>46</v>
      </c>
      <c r="B23">
        <v>133</v>
      </c>
    </row>
    <row r="24" spans="1:2" x14ac:dyDescent="0.35">
      <c r="A24" t="s">
        <v>21</v>
      </c>
      <c r="B24">
        <v>261.5</v>
      </c>
    </row>
    <row r="25" spans="1:2" x14ac:dyDescent="0.35">
      <c r="A25" t="s">
        <v>44</v>
      </c>
      <c r="B25">
        <v>284.25</v>
      </c>
    </row>
    <row r="26" spans="1:2" x14ac:dyDescent="0.35">
      <c r="A26" t="s">
        <v>36</v>
      </c>
      <c r="B26">
        <v>124.5</v>
      </c>
    </row>
    <row r="27" spans="1:2" x14ac:dyDescent="0.35">
      <c r="A27" t="s">
        <v>31</v>
      </c>
      <c r="B27">
        <v>317.5</v>
      </c>
    </row>
    <row r="28" spans="1:2" x14ac:dyDescent="0.35">
      <c r="A28" t="s">
        <v>28</v>
      </c>
      <c r="B28">
        <v>435.5</v>
      </c>
    </row>
    <row r="29" spans="1:2" x14ac:dyDescent="0.35">
      <c r="A29" t="s">
        <v>43</v>
      </c>
      <c r="B29">
        <v>153.25</v>
      </c>
    </row>
    <row r="30" spans="1:2" x14ac:dyDescent="0.35">
      <c r="A30" t="s">
        <v>29</v>
      </c>
      <c r="B30">
        <v>170.25</v>
      </c>
    </row>
    <row r="31" spans="1:2" x14ac:dyDescent="0.35">
      <c r="A31" t="s">
        <v>25</v>
      </c>
      <c r="B31">
        <v>228.25</v>
      </c>
    </row>
    <row r="32" spans="1:2" x14ac:dyDescent="0.35">
      <c r="A32" t="s">
        <v>20</v>
      </c>
      <c r="B32">
        <v>492.25</v>
      </c>
    </row>
    <row r="33" spans="1:2" x14ac:dyDescent="0.35">
      <c r="A33" t="s">
        <v>30</v>
      </c>
      <c r="B33">
        <v>257.75</v>
      </c>
    </row>
    <row r="34" spans="1:2" x14ac:dyDescent="0.35">
      <c r="A34" t="s">
        <v>57</v>
      </c>
      <c r="B34">
        <v>8513.85</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221F9-0ACA-4156-9F94-56CCA8796F6E}">
  <dimension ref="A1:A40"/>
  <sheetViews>
    <sheetView tabSelected="1" workbookViewId="0">
      <selection activeCell="H2" sqref="H2"/>
    </sheetView>
  </sheetViews>
  <sheetFormatPr defaultRowHeight="14.5" x14ac:dyDescent="0.35"/>
  <sheetData>
    <row r="1" spans="1:1" x14ac:dyDescent="0.35">
      <c r="A1" t="s">
        <v>71</v>
      </c>
    </row>
    <row r="2" spans="1:1" x14ac:dyDescent="0.35">
      <c r="A2" t="s">
        <v>72</v>
      </c>
    </row>
    <row r="4" spans="1:1" x14ac:dyDescent="0.35">
      <c r="A4" t="s">
        <v>73</v>
      </c>
    </row>
    <row r="6" spans="1:1" x14ac:dyDescent="0.35">
      <c r="A6" t="s">
        <v>74</v>
      </c>
    </row>
    <row r="8" spans="1:1" x14ac:dyDescent="0.35">
      <c r="A8" t="s">
        <v>75</v>
      </c>
    </row>
    <row r="10" spans="1:1" x14ac:dyDescent="0.35">
      <c r="A10" t="s">
        <v>76</v>
      </c>
    </row>
    <row r="12" spans="1:1" x14ac:dyDescent="0.35">
      <c r="A12" t="s">
        <v>77</v>
      </c>
    </row>
    <row r="14" spans="1:1" x14ac:dyDescent="0.35">
      <c r="A14" t="s">
        <v>78</v>
      </c>
    </row>
    <row r="16" spans="1:1" x14ac:dyDescent="0.35">
      <c r="A16" t="s">
        <v>79</v>
      </c>
    </row>
    <row r="18" spans="1:1" x14ac:dyDescent="0.35">
      <c r="A18" t="s">
        <v>80</v>
      </c>
    </row>
    <row r="20" spans="1:1" x14ac:dyDescent="0.35">
      <c r="A20" t="s">
        <v>81</v>
      </c>
    </row>
    <row r="22" spans="1:1" x14ac:dyDescent="0.35">
      <c r="A22" t="s">
        <v>82</v>
      </c>
    </row>
    <row r="23" spans="1:1" x14ac:dyDescent="0.35">
      <c r="A23" t="s">
        <v>83</v>
      </c>
    </row>
    <row r="24" spans="1:1" x14ac:dyDescent="0.35">
      <c r="A24" t="s">
        <v>84</v>
      </c>
    </row>
    <row r="26" spans="1:1" x14ac:dyDescent="0.35">
      <c r="A26" t="s">
        <v>85</v>
      </c>
    </row>
    <row r="27" spans="1:1" x14ac:dyDescent="0.35">
      <c r="A27" t="s">
        <v>86</v>
      </c>
    </row>
    <row r="29" spans="1:1" x14ac:dyDescent="0.35">
      <c r="A29" t="s">
        <v>87</v>
      </c>
    </row>
    <row r="30" spans="1:1" x14ac:dyDescent="0.35">
      <c r="A30" t="s">
        <v>88</v>
      </c>
    </row>
    <row r="32" spans="1:1" x14ac:dyDescent="0.35">
      <c r="A32" t="s">
        <v>89</v>
      </c>
    </row>
    <row r="33" spans="1:1" x14ac:dyDescent="0.35">
      <c r="A33" t="s">
        <v>90</v>
      </c>
    </row>
    <row r="35" spans="1:1" x14ac:dyDescent="0.35">
      <c r="A35" t="s">
        <v>91</v>
      </c>
    </row>
    <row r="36" spans="1:1" x14ac:dyDescent="0.35">
      <c r="A36" t="s">
        <v>92</v>
      </c>
    </row>
    <row r="37" spans="1:1" x14ac:dyDescent="0.35">
      <c r="A37" t="s">
        <v>93</v>
      </c>
    </row>
    <row r="38" spans="1:1" x14ac:dyDescent="0.35">
      <c r="A38" t="s">
        <v>94</v>
      </c>
    </row>
    <row r="39" spans="1:1" x14ac:dyDescent="0.35">
      <c r="A39" t="s">
        <v>95</v>
      </c>
    </row>
    <row r="40" spans="1:1" x14ac:dyDescent="0.35">
      <c r="A40"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 1 Pizza Sales Data </vt:lpstr>
      <vt:lpstr>Sheet2 Table Visual with Slicer</vt:lpstr>
      <vt:lpstr>Sheet3 Pizza Sales Data Working</vt:lpstr>
      <vt:lpstr>Sheet4 Quantity&amp;Revenue-Month</vt:lpstr>
      <vt:lpstr>Sheet5 Quantity&amp;Revenue-Size</vt:lpstr>
      <vt:lpstr>Sheet6Quantity&amp;Revenue-Category</vt:lpstr>
      <vt:lpstr>Sheet7 Quantity&amp;Revenue-Name</vt:lpstr>
      <vt:lpstr>Sheet 8 Charts-Qty by Month </vt:lpstr>
      <vt:lpstr>Sheet 9 Charts-Revenue by Month</vt:lpstr>
      <vt:lpstr>Sheet 10 Charts- Qty by Size</vt:lpstr>
      <vt:lpstr>Sheet 11 Charts-Revnue by Size</vt:lpstr>
      <vt:lpstr>Sheet 12 Charts-Qty by Category</vt:lpstr>
      <vt:lpstr>Sh13 Charts-Revenue by Category</vt:lpstr>
      <vt:lpstr>Sheet 14 Charts-Qty by Name</vt:lpstr>
      <vt:lpstr>Sheet 15 Charts-Revenue by Name</vt:lpstr>
      <vt:lpstr>Sheet 16 Summary Insights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 K</dc:creator>
  <cp:lastModifiedBy>ASHWIN K</cp:lastModifiedBy>
  <dcterms:created xsi:type="dcterms:W3CDTF">2026-03-16T18:30:07Z</dcterms:created>
  <dcterms:modified xsi:type="dcterms:W3CDTF">2026-03-19T10:25:21Z</dcterms:modified>
</cp:coreProperties>
</file>